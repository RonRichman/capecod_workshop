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-pc\Dropbox\"/>
    </mc:Choice>
  </mc:AlternateContent>
  <xr:revisionPtr revIDLastSave="0" documentId="13_ncr:1_{1E2387EC-5C45-4AE0-9563-6E73DCA49D7B}" xr6:coauthVersionLast="47" xr6:coauthVersionMax="47" xr10:uidLastSave="{00000000-0000-0000-0000-000000000000}"/>
  <bookViews>
    <workbookView xWindow="-120" yWindow="-120" windowWidth="29040" windowHeight="15840" firstSheet="1" activeTab="9" xr2:uid="{00000000-000D-0000-FFFF-FFFF00000000}"/>
  </bookViews>
  <sheets>
    <sheet name="sme_train" sheetId="1" r:id="rId1"/>
    <sheet name="sme_test" sheetId="2" r:id="rId2"/>
    <sheet name="sme_lower" sheetId="8" r:id="rId3"/>
    <sheet name="cas_train" sheetId="6" r:id="rId4"/>
    <sheet name="cas_test" sheetId="5" r:id="rId5"/>
    <sheet name="cas_lower" sheetId="9" r:id="rId6"/>
    <sheet name="CC examples - SME" sheetId="3" r:id="rId7"/>
    <sheet name="Diagrams" sheetId="10" state="hidden" r:id="rId8"/>
    <sheet name="CL Example" sheetId="12" state="hidden" r:id="rId9"/>
    <sheet name="CC examples - CAS" sheetId="7" r:id="rId10"/>
    <sheet name="CC examples - CAS + Mod 1" sheetId="13" state="hidden" r:id="rId11"/>
    <sheet name="CC examples - CAS + Mod 2" sheetId="14" state="hidden" r:id="rId12"/>
  </sheets>
  <definedNames>
    <definedName name="ave_cas" localSheetId="10">'CC examples - CAS + Mod 1'!$E$74</definedName>
    <definedName name="ave_cas" localSheetId="11">'CC examples - CAS + Mod 2'!$E$74</definedName>
    <definedName name="ave_cas">'CC examples - CAS'!$E$74</definedName>
    <definedName name="ave_sme">'CC examples - SME'!$E$74</definedName>
    <definedName name="cas_delta_ielr" localSheetId="10">'CC examples - CAS + Mod 1'!$H$76</definedName>
    <definedName name="cas_delta_ielr" localSheetId="11">'CC examples - CAS + Mod 2'!$H$76</definedName>
    <definedName name="cas_delta_ielr">'CC examples - CAS'!$H$76</definedName>
    <definedName name="cas_gcc" localSheetId="10">'CC examples - CAS + Mod 1'!$H$54</definedName>
    <definedName name="cas_gcc" localSheetId="11">'CC examples - CAS + Mod 2'!$H$54</definedName>
    <definedName name="cas_gcc">'CC examples - CAS'!$H$54</definedName>
    <definedName name="cdr_cas" localSheetId="10">'CC examples - CAS + Mod 1'!$O$74</definedName>
    <definedName name="cdr_cas" localSheetId="11">'CC examples - CAS + Mod 2'!$O$74</definedName>
    <definedName name="cdr_cas">'CC examples - CAS'!$O$74</definedName>
    <definedName name="cdr_sme">'CC examples - SME'!$O$74</definedName>
    <definedName name="dec_cas" localSheetId="10">'CC examples - CAS + Mod 1'!$P$31</definedName>
    <definedName name="dec_cas" localSheetId="11">'CC examples - CAS + Mod 2'!$P$31</definedName>
    <definedName name="dec_cas">'CC examples - CAS'!$O$31</definedName>
    <definedName name="dec_sme">'CC examples - SME'!$O$31</definedName>
    <definedName name="dec_tab_cas" localSheetId="10">'CC examples - CAS + Mod 1'!$S$39</definedName>
    <definedName name="dec_tab_cas" localSheetId="11">'CC examples - CAS + Mod 2'!$S$39</definedName>
    <definedName name="dec_tab_cas">'CC examples - CAS'!$S$39</definedName>
    <definedName name="dec_tab_gcc">'CC examples - SME'!$V$39:$AO$39</definedName>
    <definedName name="dec_tab_gcc_cas" localSheetId="10">'CC examples - CAS + Mod 1'!$V$39:$AO$39</definedName>
    <definedName name="dec_tab_gcc_cas" localSheetId="11">'CC examples - CAS + Mod 2'!$V$39:$AO$39</definedName>
    <definedName name="dec_tab_gcc_cas">'CC examples - CAS'!$V$39:$AO$39</definedName>
    <definedName name="dec_tab_sme">'CC examples - SME'!$S$39</definedName>
    <definedName name="sme_delta_ielr">'CC examples - SME'!$H$76</definedName>
    <definedName name="sme_detla_ielr">'CC examples - SME'!$H$76</definedName>
    <definedName name="sme_gcc">'CC examples - SME'!$H$54</definedName>
  </definedNames>
  <calcPr calcId="191029"/>
  <pivotCaches>
    <pivotCache cacheId="6" r:id="rId13"/>
    <pivotCache cacheId="7" r:id="rId14"/>
    <pivotCache cacheId="8" r:id="rId15"/>
    <pivotCache cacheId="9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1" i="7" l="1" a="1"/>
  <c r="AS31" i="7" s="1"/>
  <c r="AS33" i="7"/>
  <c r="AS34" i="7"/>
  <c r="AS36" i="7"/>
  <c r="AS37" i="7"/>
  <c r="AS39" i="7"/>
  <c r="AS41" i="7"/>
  <c r="AS46" i="7"/>
  <c r="AS49" i="7"/>
  <c r="AS50" i="7"/>
  <c r="M47" i="14"/>
  <c r="M48" i="14"/>
  <c r="M49" i="14"/>
  <c r="M5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G53" i="14"/>
  <c r="B53" i="14"/>
  <c r="C51" i="14"/>
  <c r="D50" i="14"/>
  <c r="D49" i="14"/>
  <c r="D48" i="14"/>
  <c r="D47" i="14"/>
  <c r="D46" i="14"/>
  <c r="D45" i="14"/>
  <c r="D44" i="14"/>
  <c r="D43" i="14"/>
  <c r="D42" i="14"/>
  <c r="S41" i="14"/>
  <c r="S42" i="14" s="1"/>
  <c r="S43" i="14" s="1"/>
  <c r="S44" i="14" s="1"/>
  <c r="S45" i="14" s="1"/>
  <c r="S46" i="14" s="1"/>
  <c r="S47" i="14" s="1"/>
  <c r="S48" i="14" s="1"/>
  <c r="S49" i="14" s="1"/>
  <c r="S50" i="14" s="1"/>
  <c r="S51" i="14" s="1"/>
  <c r="S52" i="14" s="1"/>
  <c r="S53" i="14" s="1"/>
  <c r="S54" i="14" s="1"/>
  <c r="S55" i="14" s="1"/>
  <c r="S56" i="14" s="1"/>
  <c r="S57" i="14" s="1"/>
  <c r="S58" i="14" s="1"/>
  <c r="S59" i="14" s="1"/>
  <c r="D41" i="14"/>
  <c r="D40" i="14"/>
  <c r="D39" i="14"/>
  <c r="AD38" i="14"/>
  <c r="V38" i="14" a="1"/>
  <c r="AC38" i="14" s="1"/>
  <c r="D38" i="14"/>
  <c r="D37" i="14"/>
  <c r="D36" i="14"/>
  <c r="D35" i="14"/>
  <c r="D34" i="14"/>
  <c r="D33" i="14"/>
  <c r="D32" i="14"/>
  <c r="A32" i="14"/>
  <c r="A33" i="14" s="1"/>
  <c r="E31" i="14"/>
  <c r="D31" i="14"/>
  <c r="T26" i="14" a="1"/>
  <c r="T26" i="14" s="1"/>
  <c r="S26" i="14" a="1"/>
  <c r="S26" i="14" s="1"/>
  <c r="R26" i="14"/>
  <c r="R26" i="14" a="1"/>
  <c r="Q26" i="14" a="1"/>
  <c r="Q26" i="14" s="1"/>
  <c r="P26" i="14" a="1"/>
  <c r="P26" i="14" s="1"/>
  <c r="O26" i="14" a="1"/>
  <c r="O26" i="14" s="1"/>
  <c r="N26" i="14" a="1"/>
  <c r="N26" i="14" s="1"/>
  <c r="M26" i="14" a="1"/>
  <c r="M26" i="14" s="1"/>
  <c r="L26" i="14" a="1"/>
  <c r="L26" i="14" s="1"/>
  <c r="K26" i="14" a="1"/>
  <c r="K26" i="14" s="1"/>
  <c r="J26" i="14" a="1"/>
  <c r="J26" i="14" s="1"/>
  <c r="I26" i="14" a="1"/>
  <c r="I26" i="14" s="1"/>
  <c r="H26" i="14" a="1"/>
  <c r="H26" i="14" s="1"/>
  <c r="G26" i="14" a="1"/>
  <c r="G26" i="14" s="1"/>
  <c r="F26" i="14" a="1"/>
  <c r="F26" i="14" s="1"/>
  <c r="E26" i="14" a="1"/>
  <c r="E26" i="14" s="1"/>
  <c r="D26" i="14" a="1"/>
  <c r="D26" i="14" s="1"/>
  <c r="C26" i="14" a="1"/>
  <c r="C26" i="14" s="1"/>
  <c r="B26" i="14" a="1"/>
  <c r="B26" i="14" s="1"/>
  <c r="T25" i="14" a="1"/>
  <c r="T25" i="14" s="1"/>
  <c r="S25" i="14" a="1"/>
  <c r="S25" i="14" s="1"/>
  <c r="S27" i="14" s="1"/>
  <c r="R25" i="14" a="1"/>
  <c r="R25" i="14" s="1"/>
  <c r="R27" i="14" s="1"/>
  <c r="Q25" i="14" a="1"/>
  <c r="Q25" i="14" s="1"/>
  <c r="Q27" i="14" s="1"/>
  <c r="P25" i="14" a="1"/>
  <c r="P25" i="14" s="1"/>
  <c r="P27" i="14" s="1"/>
  <c r="O25" i="14" a="1"/>
  <c r="O25" i="14" s="1"/>
  <c r="O27" i="14" s="1"/>
  <c r="N25" i="14" a="1"/>
  <c r="N25" i="14" s="1"/>
  <c r="N27" i="14" s="1"/>
  <c r="M25" i="14" a="1"/>
  <c r="M25" i="14" s="1"/>
  <c r="M27" i="14" s="1"/>
  <c r="L25" i="14" a="1"/>
  <c r="L25" i="14" s="1"/>
  <c r="L27" i="14" s="1"/>
  <c r="K25" i="14" a="1"/>
  <c r="K25" i="14" s="1"/>
  <c r="K27" i="14" s="1"/>
  <c r="J25" i="14" a="1"/>
  <c r="J25" i="14" s="1"/>
  <c r="I25" i="14" a="1"/>
  <c r="I25" i="14" s="1"/>
  <c r="H25" i="14" a="1"/>
  <c r="H25" i="14" s="1"/>
  <c r="G25" i="14" a="1"/>
  <c r="G25" i="14" s="1"/>
  <c r="G27" i="14" s="1"/>
  <c r="F25" i="14" a="1"/>
  <c r="F25" i="14" s="1"/>
  <c r="F27" i="14" s="1"/>
  <c r="E25" i="14" a="1"/>
  <c r="E25" i="14" s="1"/>
  <c r="E27" i="14" s="1"/>
  <c r="D25" i="14" a="1"/>
  <c r="D25" i="14" s="1"/>
  <c r="D27" i="14" s="1"/>
  <c r="C25" i="14" a="1"/>
  <c r="C25" i="14" s="1"/>
  <c r="C27" i="14" s="1"/>
  <c r="B25" i="14" a="1"/>
  <c r="B25" i="14" s="1"/>
  <c r="B27" i="14" s="1"/>
  <c r="C24" i="14"/>
  <c r="D24" i="14" s="1"/>
  <c r="E24" i="14" s="1"/>
  <c r="F24" i="14" s="1"/>
  <c r="G24" i="14" s="1"/>
  <c r="H24" i="14" s="1"/>
  <c r="I24" i="14" s="1"/>
  <c r="J24" i="14" s="1"/>
  <c r="K24" i="14" s="1"/>
  <c r="L24" i="14" s="1"/>
  <c r="M24" i="14" s="1"/>
  <c r="N24" i="14" s="1"/>
  <c r="O24" i="14" s="1"/>
  <c r="P24" i="14" s="1"/>
  <c r="Q24" i="14" s="1"/>
  <c r="R24" i="14" s="1"/>
  <c r="S24" i="14" s="1"/>
  <c r="T24" i="14" s="1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X21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AC20" i="14"/>
  <c r="AB20" i="14"/>
  <c r="AA20" i="14"/>
  <c r="Y20" i="14"/>
  <c r="X20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AC19" i="14"/>
  <c r="AB19" i="14"/>
  <c r="Z19" i="14"/>
  <c r="Y19" i="14"/>
  <c r="X19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AC18" i="14"/>
  <c r="AA18" i="14"/>
  <c r="Z18" i="14"/>
  <c r="Y18" i="14"/>
  <c r="X18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AB17" i="14"/>
  <c r="AA17" i="14"/>
  <c r="Z17" i="14"/>
  <c r="Y17" i="14"/>
  <c r="X17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C16" i="14"/>
  <c r="AB16" i="14"/>
  <c r="AA16" i="14"/>
  <c r="Z16" i="14"/>
  <c r="Y16" i="14"/>
  <c r="X16" i="14"/>
  <c r="AP15" i="14"/>
  <c r="AO15" i="14"/>
  <c r="AN15" i="14"/>
  <c r="AM15" i="14"/>
  <c r="AL15" i="14"/>
  <c r="AK15" i="14"/>
  <c r="AJ15" i="14"/>
  <c r="AI15" i="14"/>
  <c r="AH15" i="14"/>
  <c r="AG15" i="14"/>
  <c r="AF15" i="14"/>
  <c r="AD15" i="14"/>
  <c r="AC15" i="14"/>
  <c r="AB15" i="14"/>
  <c r="AA15" i="14"/>
  <c r="Z15" i="14"/>
  <c r="Y15" i="14"/>
  <c r="X15" i="14"/>
  <c r="AP14" i="14"/>
  <c r="AO14" i="14"/>
  <c r="AN14" i="14"/>
  <c r="AM14" i="14"/>
  <c r="AL14" i="14"/>
  <c r="AK14" i="14"/>
  <c r="AJ14" i="14"/>
  <c r="AI14" i="14"/>
  <c r="AH14" i="14"/>
  <c r="AG14" i="14"/>
  <c r="AE14" i="14"/>
  <c r="AD14" i="14"/>
  <c r="AC14" i="14"/>
  <c r="AB14" i="14"/>
  <c r="AA14" i="14"/>
  <c r="Z14" i="14"/>
  <c r="Y14" i="14"/>
  <c r="X14" i="14"/>
  <c r="AP13" i="14"/>
  <c r="AO13" i="14"/>
  <c r="AN13" i="14"/>
  <c r="AM13" i="14"/>
  <c r="AL13" i="14"/>
  <c r="AK13" i="14"/>
  <c r="AJ13" i="14"/>
  <c r="AI13" i="14"/>
  <c r="AH13" i="14"/>
  <c r="AF13" i="14"/>
  <c r="AE13" i="14"/>
  <c r="AD13" i="14"/>
  <c r="AC13" i="14"/>
  <c r="AB13" i="14"/>
  <c r="AA13" i="14"/>
  <c r="Z13" i="14"/>
  <c r="Y13" i="14"/>
  <c r="X13" i="14"/>
  <c r="AP12" i="14"/>
  <c r="AO12" i="14"/>
  <c r="AN12" i="14"/>
  <c r="AM12" i="14"/>
  <c r="AL12" i="14"/>
  <c r="AK12" i="14"/>
  <c r="AJ12" i="14"/>
  <c r="AI12" i="14"/>
  <c r="AG12" i="14"/>
  <c r="AF12" i="14"/>
  <c r="AE12" i="14"/>
  <c r="AD12" i="14"/>
  <c r="AC12" i="14"/>
  <c r="AB12" i="14"/>
  <c r="AA12" i="14"/>
  <c r="Z12" i="14"/>
  <c r="Y12" i="14"/>
  <c r="X12" i="14"/>
  <c r="AP11" i="14"/>
  <c r="AO11" i="14"/>
  <c r="AN11" i="14"/>
  <c r="AM11" i="14"/>
  <c r="AL11" i="14"/>
  <c r="AK11" i="14"/>
  <c r="AJ11" i="14"/>
  <c r="AH11" i="14"/>
  <c r="AG11" i="14"/>
  <c r="AF11" i="14"/>
  <c r="AE11" i="14"/>
  <c r="AD11" i="14"/>
  <c r="AC11" i="14"/>
  <c r="AB11" i="14"/>
  <c r="AA11" i="14"/>
  <c r="Z11" i="14"/>
  <c r="Y11" i="14"/>
  <c r="X11" i="14"/>
  <c r="AP10" i="14"/>
  <c r="AO10" i="14"/>
  <c r="AN10" i="14"/>
  <c r="AM10" i="14"/>
  <c r="AL10" i="14"/>
  <c r="AK10" i="14"/>
  <c r="AI10" i="14"/>
  <c r="AH10" i="14"/>
  <c r="AG10" i="14"/>
  <c r="AF10" i="14"/>
  <c r="AE10" i="14"/>
  <c r="AD10" i="14"/>
  <c r="AC10" i="14"/>
  <c r="AB10" i="14"/>
  <c r="AA10" i="14"/>
  <c r="Z10" i="14"/>
  <c r="Y10" i="14"/>
  <c r="X10" i="14"/>
  <c r="AP9" i="14"/>
  <c r="AO9" i="14"/>
  <c r="AN9" i="14"/>
  <c r="AM9" i="14"/>
  <c r="AL9" i="14"/>
  <c r="AJ9" i="14"/>
  <c r="AI9" i="14"/>
  <c r="AH9" i="14"/>
  <c r="AG9" i="14"/>
  <c r="AF9" i="14"/>
  <c r="AE9" i="14"/>
  <c r="AD9" i="14"/>
  <c r="AC9" i="14"/>
  <c r="AB9" i="14"/>
  <c r="AA9" i="14"/>
  <c r="Z9" i="14"/>
  <c r="Y9" i="14"/>
  <c r="X9" i="14"/>
  <c r="AP8" i="14"/>
  <c r="AO8" i="14"/>
  <c r="AN8" i="14"/>
  <c r="AM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AP7" i="14"/>
  <c r="AO7" i="14"/>
  <c r="AN7" i="14"/>
  <c r="AL7" i="14"/>
  <c r="AK7" i="14"/>
  <c r="AJ7" i="14"/>
  <c r="AI7" i="14"/>
  <c r="AH7" i="14"/>
  <c r="AG7" i="14"/>
  <c r="AF7" i="14"/>
  <c r="AE7" i="14"/>
  <c r="AD7" i="14"/>
  <c r="AC7" i="14"/>
  <c r="AB7" i="14"/>
  <c r="AA7" i="14"/>
  <c r="Z7" i="14"/>
  <c r="Y7" i="14"/>
  <c r="X7" i="14"/>
  <c r="AP6" i="14"/>
  <c r="AO6" i="14"/>
  <c r="AM6" i="14"/>
  <c r="AL6" i="14"/>
  <c r="AK6" i="14"/>
  <c r="AJ6" i="14"/>
  <c r="AI6" i="14"/>
  <c r="AH6" i="14"/>
  <c r="AG6" i="14"/>
  <c r="AF6" i="14"/>
  <c r="AE6" i="14"/>
  <c r="AD6" i="14"/>
  <c r="AC6" i="14"/>
  <c r="AB6" i="14"/>
  <c r="AA6" i="14"/>
  <c r="Z6" i="14"/>
  <c r="Y6" i="14"/>
  <c r="X6" i="14"/>
  <c r="AP5" i="14"/>
  <c r="AN5" i="14"/>
  <c r="AM5" i="14"/>
  <c r="AL5" i="14"/>
  <c r="AK5" i="14"/>
  <c r="AJ5" i="14"/>
  <c r="AI5" i="14"/>
  <c r="AH5" i="14"/>
  <c r="AG5" i="14"/>
  <c r="AF5" i="14"/>
  <c r="AE5" i="14"/>
  <c r="AD5" i="14"/>
  <c r="AC5" i="14"/>
  <c r="AB5" i="14"/>
  <c r="AA5" i="14"/>
  <c r="Z5" i="14"/>
  <c r="Y5" i="14"/>
  <c r="X5" i="14"/>
  <c r="AO4" i="14"/>
  <c r="AN4" i="14"/>
  <c r="AM4" i="14"/>
  <c r="AL4" i="14"/>
  <c r="AK4" i="14"/>
  <c r="AJ4" i="14"/>
  <c r="AI4" i="14"/>
  <c r="AH4" i="14"/>
  <c r="AG4" i="14"/>
  <c r="AF4" i="14"/>
  <c r="AE4" i="14"/>
  <c r="AD4" i="14"/>
  <c r="AC4" i="14"/>
  <c r="AB4" i="14"/>
  <c r="AA4" i="14"/>
  <c r="Z4" i="14"/>
  <c r="Y4" i="14"/>
  <c r="X4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B73" i="13"/>
  <c r="B72" i="13"/>
  <c r="B71" i="13"/>
  <c r="B70" i="13"/>
  <c r="B69" i="13"/>
  <c r="B68" i="13"/>
  <c r="B67" i="13"/>
  <c r="B66" i="13"/>
  <c r="B65" i="13"/>
  <c r="B64" i="13"/>
  <c r="B63" i="13"/>
  <c r="B62" i="13"/>
  <c r="B61" i="13"/>
  <c r="B60" i="13"/>
  <c r="B59" i="13"/>
  <c r="B58" i="13"/>
  <c r="B57" i="13"/>
  <c r="B56" i="13"/>
  <c r="B55" i="13"/>
  <c r="B54" i="13"/>
  <c r="G53" i="13"/>
  <c r="B53" i="13"/>
  <c r="C51" i="13"/>
  <c r="D50" i="13"/>
  <c r="D49" i="13"/>
  <c r="D48" i="13"/>
  <c r="D47" i="13"/>
  <c r="D46" i="13"/>
  <c r="D45" i="13"/>
  <c r="D44" i="13"/>
  <c r="S43" i="13"/>
  <c r="S44" i="13" s="1"/>
  <c r="S45" i="13" s="1"/>
  <c r="S46" i="13" s="1"/>
  <c r="S47" i="13" s="1"/>
  <c r="S48" i="13" s="1"/>
  <c r="S49" i="13" s="1"/>
  <c r="S50" i="13" s="1"/>
  <c r="S51" i="13" s="1"/>
  <c r="S52" i="13" s="1"/>
  <c r="S53" i="13" s="1"/>
  <c r="S54" i="13" s="1"/>
  <c r="S55" i="13" s="1"/>
  <c r="S56" i="13" s="1"/>
  <c r="S57" i="13" s="1"/>
  <c r="S58" i="13" s="1"/>
  <c r="S59" i="13" s="1"/>
  <c r="D43" i="13"/>
  <c r="S42" i="13"/>
  <c r="D42" i="13"/>
  <c r="S41" i="13"/>
  <c r="D41" i="13"/>
  <c r="D40" i="13"/>
  <c r="D39" i="13"/>
  <c r="AH38" i="13"/>
  <c r="V38" i="13" a="1"/>
  <c r="AG38" i="13" s="1"/>
  <c r="D38" i="13"/>
  <c r="D37" i="13"/>
  <c r="D36" i="13"/>
  <c r="D35" i="13"/>
  <c r="D34" i="13"/>
  <c r="D33" i="13"/>
  <c r="A33" i="13"/>
  <c r="A34" i="13" s="1"/>
  <c r="D32" i="13"/>
  <c r="A32" i="13"/>
  <c r="E31" i="13"/>
  <c r="G55" i="13" s="1"/>
  <c r="D31" i="13"/>
  <c r="T26" i="13" a="1"/>
  <c r="T26" i="13" s="1"/>
  <c r="S26" i="13" a="1"/>
  <c r="S26" i="13" s="1"/>
  <c r="R26" i="13" a="1"/>
  <c r="R26" i="13" s="1"/>
  <c r="Q26" i="13" a="1"/>
  <c r="Q26" i="13" s="1"/>
  <c r="P26" i="13" a="1"/>
  <c r="P26" i="13" s="1"/>
  <c r="O26" i="13" a="1"/>
  <c r="O26" i="13" s="1"/>
  <c r="N26" i="13" a="1"/>
  <c r="N26" i="13" s="1"/>
  <c r="M26" i="13" a="1"/>
  <c r="M26" i="13" s="1"/>
  <c r="L26" i="13" a="1"/>
  <c r="L26" i="13" s="1"/>
  <c r="K26" i="13" a="1"/>
  <c r="K26" i="13" s="1"/>
  <c r="J26" i="13" a="1"/>
  <c r="J26" i="13" s="1"/>
  <c r="I26" i="13" a="1"/>
  <c r="I26" i="13" s="1"/>
  <c r="H26" i="13" a="1"/>
  <c r="H26" i="13" s="1"/>
  <c r="G26" i="13" a="1"/>
  <c r="G26" i="13" s="1"/>
  <c r="F26" i="13" a="1"/>
  <c r="F26" i="13" s="1"/>
  <c r="E26" i="13" a="1"/>
  <c r="E26" i="13" s="1"/>
  <c r="D26" i="13" a="1"/>
  <c r="D26" i="13" s="1"/>
  <c r="C26" i="13" a="1"/>
  <c r="C26" i="13" s="1"/>
  <c r="B26" i="13" a="1"/>
  <c r="B26" i="13" s="1"/>
  <c r="T25" i="13" a="1"/>
  <c r="T25" i="13" s="1"/>
  <c r="T27" i="13" s="1"/>
  <c r="T28" i="13" s="1"/>
  <c r="E32" i="13" s="1"/>
  <c r="S25" i="13" a="1"/>
  <c r="S25" i="13" s="1"/>
  <c r="S27" i="13" s="1"/>
  <c r="S28" i="13" s="1"/>
  <c r="E33" i="13" s="1"/>
  <c r="R25" i="13" a="1"/>
  <c r="R25" i="13" s="1"/>
  <c r="R27" i="13" s="1"/>
  <c r="R28" i="13" s="1"/>
  <c r="E34" i="13" s="1"/>
  <c r="Q25" i="13" a="1"/>
  <c r="Q25" i="13" s="1"/>
  <c r="Q27" i="13" s="1"/>
  <c r="Q28" i="13" s="1"/>
  <c r="E35" i="13" s="1"/>
  <c r="P25" i="13" a="1"/>
  <c r="P25" i="13" s="1"/>
  <c r="P27" i="13" s="1"/>
  <c r="P28" i="13" s="1"/>
  <c r="E36" i="13" s="1"/>
  <c r="O25" i="13" a="1"/>
  <c r="O25" i="13" s="1"/>
  <c r="O27" i="13" s="1"/>
  <c r="O28" i="13" s="1"/>
  <c r="E37" i="13" s="1"/>
  <c r="N25" i="13" a="1"/>
  <c r="N25" i="13" s="1"/>
  <c r="N27" i="13" s="1"/>
  <c r="M25" i="13" a="1"/>
  <c r="M25" i="13" s="1"/>
  <c r="M27" i="13" s="1"/>
  <c r="M28" i="13" s="1"/>
  <c r="E39" i="13" s="1"/>
  <c r="L25" i="13" a="1"/>
  <c r="L25" i="13" s="1"/>
  <c r="L27" i="13" s="1"/>
  <c r="K25" i="13" a="1"/>
  <c r="K25" i="13" s="1"/>
  <c r="K27" i="13" s="1"/>
  <c r="K28" i="13" s="1"/>
  <c r="E41" i="13" s="1"/>
  <c r="J25" i="13" a="1"/>
  <c r="J25" i="13" s="1"/>
  <c r="I25" i="13" a="1"/>
  <c r="I25" i="13" s="1"/>
  <c r="H25" i="13" a="1"/>
  <c r="H25" i="13" s="1"/>
  <c r="G25" i="13" a="1"/>
  <c r="G25" i="13" s="1"/>
  <c r="G27" i="13" s="1"/>
  <c r="F25" i="13" a="1"/>
  <c r="F25" i="13" s="1"/>
  <c r="F27" i="13" s="1"/>
  <c r="E25" i="13" a="1"/>
  <c r="E25" i="13" s="1"/>
  <c r="E27" i="13" s="1"/>
  <c r="D25" i="13" a="1"/>
  <c r="D25" i="13" s="1"/>
  <c r="D27" i="13" s="1"/>
  <c r="C25" i="13" a="1"/>
  <c r="C25" i="13" s="1"/>
  <c r="C27" i="13" s="1"/>
  <c r="B25" i="13" a="1"/>
  <c r="B25" i="13" s="1"/>
  <c r="B27" i="13" s="1"/>
  <c r="C24" i="13"/>
  <c r="D24" i="13" s="1"/>
  <c r="E24" i="13" s="1"/>
  <c r="F24" i="13" s="1"/>
  <c r="G24" i="13" s="1"/>
  <c r="H24" i="13" s="1"/>
  <c r="I24" i="13" s="1"/>
  <c r="J24" i="13" s="1"/>
  <c r="K24" i="13" s="1"/>
  <c r="L24" i="13" s="1"/>
  <c r="M24" i="13" s="1"/>
  <c r="N24" i="13" s="1"/>
  <c r="O24" i="13" s="1"/>
  <c r="P24" i="13" s="1"/>
  <c r="Q24" i="13" s="1"/>
  <c r="R24" i="13" s="1"/>
  <c r="S24" i="13" s="1"/>
  <c r="T24" i="13" s="1"/>
  <c r="AP21" i="13"/>
  <c r="AO21" i="13"/>
  <c r="AN21" i="13"/>
  <c r="AM21" i="13"/>
  <c r="AL21" i="13"/>
  <c r="AK21" i="13"/>
  <c r="AJ21" i="13"/>
  <c r="AI21" i="13"/>
  <c r="AH21" i="13"/>
  <c r="AG21" i="13"/>
  <c r="AF21" i="13"/>
  <c r="AE21" i="13"/>
  <c r="AD21" i="13"/>
  <c r="AC21" i="13"/>
  <c r="AB21" i="13"/>
  <c r="AA21" i="13"/>
  <c r="Z21" i="13"/>
  <c r="X21" i="13"/>
  <c r="AP20" i="13"/>
  <c r="AO20" i="13"/>
  <c r="AN20" i="13"/>
  <c r="AM20" i="13"/>
  <c r="AL20" i="13"/>
  <c r="AK20" i="13"/>
  <c r="AJ20" i="13"/>
  <c r="AI20" i="13"/>
  <c r="AH20" i="13"/>
  <c r="AG20" i="13"/>
  <c r="AF20" i="13"/>
  <c r="AE20" i="13"/>
  <c r="AD20" i="13"/>
  <c r="AC20" i="13"/>
  <c r="AB20" i="13"/>
  <c r="AA20" i="13"/>
  <c r="Y20" i="13"/>
  <c r="X20" i="13"/>
  <c r="AP19" i="13"/>
  <c r="AO19" i="13"/>
  <c r="AN19" i="13"/>
  <c r="AM19" i="13"/>
  <c r="AL19" i="13"/>
  <c r="AK19" i="13"/>
  <c r="AJ19" i="13"/>
  <c r="AI19" i="13"/>
  <c r="AH19" i="13"/>
  <c r="AG19" i="13"/>
  <c r="AF19" i="13"/>
  <c r="AE19" i="13"/>
  <c r="AD19" i="13"/>
  <c r="AC19" i="13"/>
  <c r="AB19" i="13"/>
  <c r="Z19" i="13"/>
  <c r="Y19" i="13"/>
  <c r="X19" i="13"/>
  <c r="AP18" i="13"/>
  <c r="AO18" i="13"/>
  <c r="AN18" i="13"/>
  <c r="AM18" i="13"/>
  <c r="AL18" i="13"/>
  <c r="AK18" i="13"/>
  <c r="AJ18" i="13"/>
  <c r="AI18" i="13"/>
  <c r="AH18" i="13"/>
  <c r="AG18" i="13"/>
  <c r="AF18" i="13"/>
  <c r="AE18" i="13"/>
  <c r="AD18" i="13"/>
  <c r="AC18" i="13"/>
  <c r="AA18" i="13"/>
  <c r="Z18" i="13"/>
  <c r="Y18" i="13"/>
  <c r="X18" i="13"/>
  <c r="AP17" i="13"/>
  <c r="AO17" i="13"/>
  <c r="AN17" i="13"/>
  <c r="AM17" i="13"/>
  <c r="AL17" i="13"/>
  <c r="AK17" i="13"/>
  <c r="AJ17" i="13"/>
  <c r="AI17" i="13"/>
  <c r="AH17" i="13"/>
  <c r="AG17" i="13"/>
  <c r="AF17" i="13"/>
  <c r="AE17" i="13"/>
  <c r="AD17" i="13"/>
  <c r="AB17" i="13"/>
  <c r="AA17" i="13"/>
  <c r="Z17" i="13"/>
  <c r="Y17" i="13"/>
  <c r="X17" i="13"/>
  <c r="AP16" i="13"/>
  <c r="AO16" i="13"/>
  <c r="AN16" i="13"/>
  <c r="AM16" i="13"/>
  <c r="AL16" i="13"/>
  <c r="AK16" i="13"/>
  <c r="AJ16" i="13"/>
  <c r="AI16" i="13"/>
  <c r="AH16" i="13"/>
  <c r="AG16" i="13"/>
  <c r="AF16" i="13"/>
  <c r="AE16" i="13"/>
  <c r="AC16" i="13"/>
  <c r="AB16" i="13"/>
  <c r="AA16" i="13"/>
  <c r="Z16" i="13"/>
  <c r="Y16" i="13"/>
  <c r="X16" i="13"/>
  <c r="AP15" i="13"/>
  <c r="AO15" i="13"/>
  <c r="AN15" i="13"/>
  <c r="AM15" i="13"/>
  <c r="AL15" i="13"/>
  <c r="AK15" i="13"/>
  <c r="AJ15" i="13"/>
  <c r="AI15" i="13"/>
  <c r="AH15" i="13"/>
  <c r="AG15" i="13"/>
  <c r="AF15" i="13"/>
  <c r="AD15" i="13"/>
  <c r="AC15" i="13"/>
  <c r="AB15" i="13"/>
  <c r="AA15" i="13"/>
  <c r="Z15" i="13"/>
  <c r="Y15" i="13"/>
  <c r="X15" i="13"/>
  <c r="AP14" i="13"/>
  <c r="AO14" i="13"/>
  <c r="AN14" i="13"/>
  <c r="AM14" i="13"/>
  <c r="AL14" i="13"/>
  <c r="AK14" i="13"/>
  <c r="AJ14" i="13"/>
  <c r="AI14" i="13"/>
  <c r="AH14" i="13"/>
  <c r="AG14" i="13"/>
  <c r="AE14" i="13"/>
  <c r="AD14" i="13"/>
  <c r="AC14" i="13"/>
  <c r="AB14" i="13"/>
  <c r="AA14" i="13"/>
  <c r="Z14" i="13"/>
  <c r="Y14" i="13"/>
  <c r="X14" i="13"/>
  <c r="AP13" i="13"/>
  <c r="AO13" i="13"/>
  <c r="AN13" i="13"/>
  <c r="AM13" i="13"/>
  <c r="AL13" i="13"/>
  <c r="AK13" i="13"/>
  <c r="AJ13" i="13"/>
  <c r="AI13" i="13"/>
  <c r="AH13" i="13"/>
  <c r="AF13" i="13"/>
  <c r="AE13" i="13"/>
  <c r="AD13" i="13"/>
  <c r="AC13" i="13"/>
  <c r="AB13" i="13"/>
  <c r="AA13" i="13"/>
  <c r="Z13" i="13"/>
  <c r="Y13" i="13"/>
  <c r="X13" i="13"/>
  <c r="AP12" i="13"/>
  <c r="AO12" i="13"/>
  <c r="AN12" i="13"/>
  <c r="AM12" i="13"/>
  <c r="AL12" i="13"/>
  <c r="AK12" i="13"/>
  <c r="AJ12" i="13"/>
  <c r="AI12" i="13"/>
  <c r="AG12" i="13"/>
  <c r="AF12" i="13"/>
  <c r="AE12" i="13"/>
  <c r="AD12" i="13"/>
  <c r="AC12" i="13"/>
  <c r="AB12" i="13"/>
  <c r="AA12" i="13"/>
  <c r="Z12" i="13"/>
  <c r="Y12" i="13"/>
  <c r="X12" i="13"/>
  <c r="AP11" i="13"/>
  <c r="AO11" i="13"/>
  <c r="AN11" i="13"/>
  <c r="AM11" i="13"/>
  <c r="AL11" i="13"/>
  <c r="AK11" i="13"/>
  <c r="AJ11" i="13"/>
  <c r="AH11" i="13"/>
  <c r="AG11" i="13"/>
  <c r="AF11" i="13"/>
  <c r="AE11" i="13"/>
  <c r="AD11" i="13"/>
  <c r="AC11" i="13"/>
  <c r="AB11" i="13"/>
  <c r="AA11" i="13"/>
  <c r="Z11" i="13"/>
  <c r="Y11" i="13"/>
  <c r="X11" i="13"/>
  <c r="AP10" i="13"/>
  <c r="AO10" i="13"/>
  <c r="AN10" i="13"/>
  <c r="AM10" i="13"/>
  <c r="AL10" i="13"/>
  <c r="AK10" i="13"/>
  <c r="AI10" i="13"/>
  <c r="AH10" i="13"/>
  <c r="AG10" i="13"/>
  <c r="AF10" i="13"/>
  <c r="AE10" i="13"/>
  <c r="AD10" i="13"/>
  <c r="AC10" i="13"/>
  <c r="AB10" i="13"/>
  <c r="AA10" i="13"/>
  <c r="Z10" i="13"/>
  <c r="Y10" i="13"/>
  <c r="X10" i="13"/>
  <c r="AP9" i="13"/>
  <c r="AO9" i="13"/>
  <c r="AN9" i="13"/>
  <c r="AM9" i="13"/>
  <c r="AL9" i="13"/>
  <c r="AJ9" i="13"/>
  <c r="AI9" i="13"/>
  <c r="AH9" i="13"/>
  <c r="AG9" i="13"/>
  <c r="AF9" i="13"/>
  <c r="AE9" i="13"/>
  <c r="AD9" i="13"/>
  <c r="AC9" i="13"/>
  <c r="AB9" i="13"/>
  <c r="AA9" i="13"/>
  <c r="Z9" i="13"/>
  <c r="Y9" i="13"/>
  <c r="X9" i="13"/>
  <c r="AP8" i="13"/>
  <c r="AO8" i="13"/>
  <c r="AN8" i="13"/>
  <c r="AM8" i="13"/>
  <c r="AK8" i="13"/>
  <c r="AJ8" i="13"/>
  <c r="AI8" i="13"/>
  <c r="AH8" i="13"/>
  <c r="AG8" i="13"/>
  <c r="AF8" i="13"/>
  <c r="AE8" i="13"/>
  <c r="AD8" i="13"/>
  <c r="AC8" i="13"/>
  <c r="AB8" i="13"/>
  <c r="AA8" i="13"/>
  <c r="Z8" i="13"/>
  <c r="Y8" i="13"/>
  <c r="X8" i="13"/>
  <c r="AP7" i="13"/>
  <c r="AO7" i="13"/>
  <c r="AN7" i="13"/>
  <c r="AL7" i="13"/>
  <c r="AK7" i="13"/>
  <c r="AJ7" i="13"/>
  <c r="AI7" i="13"/>
  <c r="AH7" i="13"/>
  <c r="AG7" i="13"/>
  <c r="AF7" i="13"/>
  <c r="AE7" i="13"/>
  <c r="AD7" i="13"/>
  <c r="AC7" i="13"/>
  <c r="AB7" i="13"/>
  <c r="AA7" i="13"/>
  <c r="Z7" i="13"/>
  <c r="Y7" i="13"/>
  <c r="X7" i="13"/>
  <c r="AP6" i="13"/>
  <c r="AO6" i="13"/>
  <c r="AM6" i="13"/>
  <c r="AL6" i="13"/>
  <c r="AK6" i="13"/>
  <c r="AJ6" i="13"/>
  <c r="AI6" i="13"/>
  <c r="AH6" i="13"/>
  <c r="AG6" i="13"/>
  <c r="AF6" i="13"/>
  <c r="AE6" i="13"/>
  <c r="AD6" i="13"/>
  <c r="AC6" i="13"/>
  <c r="AB6" i="13"/>
  <c r="AA6" i="13"/>
  <c r="Z6" i="13"/>
  <c r="Y6" i="13"/>
  <c r="X6" i="13"/>
  <c r="AP5" i="13"/>
  <c r="AN5" i="13"/>
  <c r="AM5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AO4" i="13"/>
  <c r="AN4" i="13"/>
  <c r="AM4" i="13"/>
  <c r="AL4" i="13"/>
  <c r="AK4" i="13"/>
  <c r="AJ4" i="13"/>
  <c r="AI4" i="13"/>
  <c r="AH4" i="13"/>
  <c r="AG4" i="13"/>
  <c r="AF4" i="13"/>
  <c r="AE4" i="13"/>
  <c r="AD4" i="13"/>
  <c r="AC4" i="13"/>
  <c r="AB4" i="13"/>
  <c r="AA4" i="13"/>
  <c r="Z4" i="13"/>
  <c r="Y4" i="13"/>
  <c r="X4" i="13"/>
  <c r="AP3" i="13"/>
  <c r="AO3" i="13"/>
  <c r="AN3" i="13"/>
  <c r="AM3" i="13"/>
  <c r="AL3" i="13"/>
  <c r="AK3" i="13"/>
  <c r="AJ3" i="13"/>
  <c r="AI3" i="13"/>
  <c r="AH3" i="13"/>
  <c r="AG3" i="13"/>
  <c r="AF3" i="13"/>
  <c r="AE3" i="13"/>
  <c r="AD3" i="13"/>
  <c r="AC3" i="13"/>
  <c r="AB3" i="13"/>
  <c r="AA3" i="13"/>
  <c r="Z3" i="13"/>
  <c r="Y3" i="13"/>
  <c r="X3" i="13"/>
  <c r="R50" i="12"/>
  <c r="Q50" i="12"/>
  <c r="P50" i="12"/>
  <c r="O50" i="12"/>
  <c r="N50" i="12"/>
  <c r="R49" i="12"/>
  <c r="Q49" i="12"/>
  <c r="P49" i="12"/>
  <c r="O49" i="12"/>
  <c r="N49" i="12"/>
  <c r="R48" i="12"/>
  <c r="Q48" i="12"/>
  <c r="P48" i="12"/>
  <c r="O48" i="12"/>
  <c r="N48" i="12"/>
  <c r="R47" i="12"/>
  <c r="Q47" i="12"/>
  <c r="P47" i="12"/>
  <c r="O47" i="12"/>
  <c r="N47" i="12"/>
  <c r="R46" i="12"/>
  <c r="Q46" i="12"/>
  <c r="P46" i="12"/>
  <c r="O46" i="12"/>
  <c r="N46" i="12"/>
  <c r="R45" i="12"/>
  <c r="Q45" i="12"/>
  <c r="P45" i="12"/>
  <c r="O45" i="12"/>
  <c r="N45" i="12"/>
  <c r="R44" i="12"/>
  <c r="Q44" i="12"/>
  <c r="P44" i="12"/>
  <c r="O44" i="12"/>
  <c r="N44" i="12"/>
  <c r="R43" i="12"/>
  <c r="Q43" i="12"/>
  <c r="P43" i="12"/>
  <c r="O43" i="12"/>
  <c r="N43" i="12"/>
  <c r="R42" i="12"/>
  <c r="Q42" i="12"/>
  <c r="P42" i="12"/>
  <c r="O42" i="12"/>
  <c r="N42" i="12"/>
  <c r="R41" i="12"/>
  <c r="Q41" i="12"/>
  <c r="P41" i="12"/>
  <c r="O41" i="12"/>
  <c r="N41" i="12"/>
  <c r="R40" i="12"/>
  <c r="Q40" i="12"/>
  <c r="P40" i="12"/>
  <c r="O40" i="12"/>
  <c r="N40" i="12"/>
  <c r="R39" i="12"/>
  <c r="Q39" i="12"/>
  <c r="P39" i="12"/>
  <c r="O39" i="12"/>
  <c r="N39" i="12"/>
  <c r="R38" i="12"/>
  <c r="Q38" i="12"/>
  <c r="P38" i="12"/>
  <c r="O38" i="12"/>
  <c r="N38" i="12"/>
  <c r="R37" i="12"/>
  <c r="Q37" i="12"/>
  <c r="P37" i="12"/>
  <c r="O37" i="12"/>
  <c r="N37" i="12"/>
  <c r="R36" i="12"/>
  <c r="Q36" i="12"/>
  <c r="P36" i="12"/>
  <c r="O36" i="12"/>
  <c r="N36" i="12"/>
  <c r="R35" i="12"/>
  <c r="Q35" i="12"/>
  <c r="P35" i="12"/>
  <c r="O35" i="12"/>
  <c r="N35" i="12"/>
  <c r="R34" i="12"/>
  <c r="Q34" i="12"/>
  <c r="P34" i="12"/>
  <c r="O34" i="12"/>
  <c r="N34" i="12"/>
  <c r="R33" i="12"/>
  <c r="Q33" i="12"/>
  <c r="P33" i="12"/>
  <c r="O33" i="12"/>
  <c r="N33" i="12"/>
  <c r="R32" i="12"/>
  <c r="Q32" i="12"/>
  <c r="P32" i="12"/>
  <c r="O32" i="12"/>
  <c r="N32" i="12"/>
  <c r="R31" i="12"/>
  <c r="Q31" i="12"/>
  <c r="P31" i="12"/>
  <c r="O31" i="12"/>
  <c r="N31" i="12"/>
  <c r="C51" i="12"/>
  <c r="A30" i="12"/>
  <c r="B30" i="12"/>
  <c r="C30" i="12"/>
  <c r="D30" i="12"/>
  <c r="E30" i="12"/>
  <c r="F30" i="12"/>
  <c r="G30" i="12"/>
  <c r="H30" i="12"/>
  <c r="A31" i="12"/>
  <c r="B31" i="12"/>
  <c r="C31" i="12"/>
  <c r="A32" i="12"/>
  <c r="B32" i="12"/>
  <c r="C32" i="12"/>
  <c r="A33" i="12"/>
  <c r="B33" i="12"/>
  <c r="C33" i="12"/>
  <c r="A34" i="12"/>
  <c r="B34" i="12"/>
  <c r="C34" i="12"/>
  <c r="A35" i="12"/>
  <c r="B35" i="12"/>
  <c r="C35" i="12"/>
  <c r="A36" i="12"/>
  <c r="B36" i="12"/>
  <c r="C36" i="12"/>
  <c r="A37" i="12"/>
  <c r="B37" i="12"/>
  <c r="C37" i="12"/>
  <c r="A38" i="12"/>
  <c r="B38" i="12"/>
  <c r="C38" i="12"/>
  <c r="A39" i="12"/>
  <c r="B39" i="12"/>
  <c r="C39" i="12"/>
  <c r="A40" i="12"/>
  <c r="B40" i="12"/>
  <c r="C40" i="12"/>
  <c r="A41" i="12"/>
  <c r="B41" i="12"/>
  <c r="C41" i="12"/>
  <c r="A42" i="12"/>
  <c r="B42" i="12"/>
  <c r="C42" i="12"/>
  <c r="A43" i="12"/>
  <c r="B43" i="12"/>
  <c r="C43" i="12"/>
  <c r="A44" i="12"/>
  <c r="B44" i="12"/>
  <c r="C44" i="12"/>
  <c r="A45" i="12"/>
  <c r="B45" i="12"/>
  <c r="C45" i="12"/>
  <c r="A46" i="12"/>
  <c r="B46" i="12"/>
  <c r="C46" i="12"/>
  <c r="A47" i="12"/>
  <c r="B47" i="12"/>
  <c r="C47" i="12"/>
  <c r="A48" i="12"/>
  <c r="B48" i="12"/>
  <c r="C48" i="12"/>
  <c r="A49" i="12"/>
  <c r="B49" i="12"/>
  <c r="C49" i="12"/>
  <c r="A50" i="12"/>
  <c r="B50" i="12"/>
  <c r="C50" i="12"/>
  <c r="A51" i="12"/>
  <c r="B51" i="12"/>
  <c r="A23" i="12"/>
  <c r="B23" i="12"/>
  <c r="C23" i="12"/>
  <c r="D23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A24" i="12"/>
  <c r="B24" i="12"/>
  <c r="C24" i="12"/>
  <c r="D24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A25" i="12"/>
  <c r="B25" i="12"/>
  <c r="C25" i="12"/>
  <c r="D25" i="12"/>
  <c r="E25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A26" i="12"/>
  <c r="B26" i="1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A27" i="12"/>
  <c r="B27" i="12"/>
  <c r="C27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B21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C20" i="12"/>
  <c r="B20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D19" i="12"/>
  <c r="C19" i="12"/>
  <c r="B19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E18" i="12"/>
  <c r="D18" i="12"/>
  <c r="C18" i="12"/>
  <c r="B18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F17" i="12"/>
  <c r="E17" i="12"/>
  <c r="D17" i="12"/>
  <c r="C17" i="12"/>
  <c r="B17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G16" i="12"/>
  <c r="F16" i="12"/>
  <c r="E16" i="12"/>
  <c r="D16" i="12"/>
  <c r="C16" i="12"/>
  <c r="B16" i="12"/>
  <c r="T15" i="12"/>
  <c r="S15" i="12"/>
  <c r="R15" i="12"/>
  <c r="Q15" i="12"/>
  <c r="P15" i="12"/>
  <c r="O15" i="12"/>
  <c r="N15" i="12"/>
  <c r="M15" i="12"/>
  <c r="L15" i="12"/>
  <c r="K15" i="12"/>
  <c r="J15" i="12"/>
  <c r="H15" i="12"/>
  <c r="G15" i="12"/>
  <c r="F15" i="12"/>
  <c r="E15" i="12"/>
  <c r="D15" i="12"/>
  <c r="C15" i="12"/>
  <c r="B15" i="12"/>
  <c r="T14" i="12"/>
  <c r="S14" i="12"/>
  <c r="R14" i="12"/>
  <c r="Q14" i="12"/>
  <c r="P14" i="12"/>
  <c r="O14" i="12"/>
  <c r="N14" i="12"/>
  <c r="M14" i="12"/>
  <c r="L14" i="12"/>
  <c r="K14" i="12"/>
  <c r="I14" i="12"/>
  <c r="H14" i="12"/>
  <c r="G14" i="12"/>
  <c r="F14" i="12"/>
  <c r="E14" i="12"/>
  <c r="D14" i="12"/>
  <c r="C14" i="12"/>
  <c r="B14" i="12"/>
  <c r="T13" i="12"/>
  <c r="S13" i="12"/>
  <c r="R13" i="12"/>
  <c r="Q13" i="12"/>
  <c r="P13" i="12"/>
  <c r="O13" i="12"/>
  <c r="N13" i="12"/>
  <c r="M13" i="12"/>
  <c r="L13" i="12"/>
  <c r="J13" i="12"/>
  <c r="I13" i="12"/>
  <c r="H13" i="12"/>
  <c r="G13" i="12"/>
  <c r="F13" i="12"/>
  <c r="E13" i="12"/>
  <c r="D13" i="12"/>
  <c r="C13" i="12"/>
  <c r="B13" i="12"/>
  <c r="T12" i="12"/>
  <c r="S12" i="12"/>
  <c r="R12" i="12"/>
  <c r="Q12" i="12"/>
  <c r="P12" i="12"/>
  <c r="O12" i="12"/>
  <c r="N12" i="12"/>
  <c r="M12" i="12"/>
  <c r="K12" i="12"/>
  <c r="J12" i="12"/>
  <c r="I12" i="12"/>
  <c r="H12" i="12"/>
  <c r="G12" i="12"/>
  <c r="F12" i="12"/>
  <c r="E12" i="12"/>
  <c r="D12" i="12"/>
  <c r="C12" i="12"/>
  <c r="B12" i="12"/>
  <c r="T11" i="12"/>
  <c r="S11" i="12"/>
  <c r="R11" i="12"/>
  <c r="Q11" i="12"/>
  <c r="P11" i="12"/>
  <c r="O11" i="12"/>
  <c r="N11" i="12"/>
  <c r="L11" i="12"/>
  <c r="K11" i="12"/>
  <c r="J11" i="12"/>
  <c r="I11" i="12"/>
  <c r="H11" i="12"/>
  <c r="G11" i="12"/>
  <c r="F11" i="12"/>
  <c r="E11" i="12"/>
  <c r="D11" i="12"/>
  <c r="C11" i="12"/>
  <c r="B11" i="12"/>
  <c r="T10" i="12"/>
  <c r="S10" i="12"/>
  <c r="R10" i="12"/>
  <c r="Q10" i="12"/>
  <c r="P10" i="12"/>
  <c r="O10" i="12"/>
  <c r="M10" i="12"/>
  <c r="L10" i="12"/>
  <c r="K10" i="12"/>
  <c r="J10" i="12"/>
  <c r="I10" i="12"/>
  <c r="H10" i="12"/>
  <c r="G10" i="12"/>
  <c r="F10" i="12"/>
  <c r="E10" i="12"/>
  <c r="D10" i="12"/>
  <c r="C10" i="12"/>
  <c r="B10" i="12"/>
  <c r="T9" i="12"/>
  <c r="S9" i="12"/>
  <c r="R9" i="12"/>
  <c r="Q9" i="12"/>
  <c r="P9" i="12"/>
  <c r="N9" i="12"/>
  <c r="M9" i="12"/>
  <c r="L9" i="12"/>
  <c r="K9" i="12"/>
  <c r="J9" i="12"/>
  <c r="I9" i="12"/>
  <c r="H9" i="12"/>
  <c r="G9" i="12"/>
  <c r="F9" i="12"/>
  <c r="E9" i="12"/>
  <c r="D9" i="12"/>
  <c r="C9" i="12"/>
  <c r="B9" i="12"/>
  <c r="T8" i="12"/>
  <c r="S8" i="12"/>
  <c r="R8" i="12"/>
  <c r="Q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T7" i="12"/>
  <c r="S7" i="12"/>
  <c r="R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C7" i="12"/>
  <c r="B7" i="12"/>
  <c r="T6" i="12"/>
  <c r="S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B6" i="12"/>
  <c r="T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C5" i="12"/>
  <c r="B5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C4" i="12"/>
  <c r="B4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D3" i="12"/>
  <c r="C3" i="12"/>
  <c r="B3" i="12"/>
  <c r="AP21" i="7"/>
  <c r="AO21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X21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Y20" i="7"/>
  <c r="X20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Z19" i="7"/>
  <c r="Y19" i="7"/>
  <c r="X19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D18" i="7"/>
  <c r="AC18" i="7"/>
  <c r="AA18" i="7"/>
  <c r="Z18" i="7"/>
  <c r="Y18" i="7"/>
  <c r="X18" i="7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B17" i="7"/>
  <c r="AA17" i="7"/>
  <c r="Z17" i="7"/>
  <c r="Y17" i="7"/>
  <c r="X17" i="7"/>
  <c r="AP16" i="7"/>
  <c r="AO16" i="7"/>
  <c r="AN16" i="7"/>
  <c r="AM16" i="7"/>
  <c r="AL16" i="7"/>
  <c r="AK16" i="7"/>
  <c r="AJ16" i="7"/>
  <c r="AI16" i="7"/>
  <c r="AH16" i="7"/>
  <c r="AG16" i="7"/>
  <c r="AF16" i="7"/>
  <c r="AE16" i="7"/>
  <c r="AC16" i="7"/>
  <c r="AB16" i="7"/>
  <c r="AA16" i="7"/>
  <c r="Z16" i="7"/>
  <c r="Y16" i="7"/>
  <c r="X16" i="7"/>
  <c r="AP15" i="7"/>
  <c r="AO15" i="7"/>
  <c r="AN15" i="7"/>
  <c r="AM15" i="7"/>
  <c r="AL15" i="7"/>
  <c r="AK15" i="7"/>
  <c r="AJ15" i="7"/>
  <c r="AI15" i="7"/>
  <c r="AH15" i="7"/>
  <c r="AG15" i="7"/>
  <c r="AF15" i="7"/>
  <c r="AD15" i="7"/>
  <c r="AC15" i="7"/>
  <c r="AB15" i="7"/>
  <c r="AA15" i="7"/>
  <c r="Z15" i="7"/>
  <c r="Y15" i="7"/>
  <c r="X15" i="7"/>
  <c r="AP14" i="7"/>
  <c r="AO14" i="7"/>
  <c r="AN14" i="7"/>
  <c r="AM14" i="7"/>
  <c r="AL14" i="7"/>
  <c r="AK14" i="7"/>
  <c r="AJ14" i="7"/>
  <c r="AI14" i="7"/>
  <c r="AH14" i="7"/>
  <c r="AG14" i="7"/>
  <c r="AE14" i="7"/>
  <c r="AD14" i="7"/>
  <c r="AC14" i="7"/>
  <c r="AB14" i="7"/>
  <c r="AA14" i="7"/>
  <c r="Z14" i="7"/>
  <c r="Y14" i="7"/>
  <c r="X14" i="7"/>
  <c r="AP13" i="7"/>
  <c r="AO13" i="7"/>
  <c r="AN13" i="7"/>
  <c r="AM13" i="7"/>
  <c r="AL13" i="7"/>
  <c r="AK13" i="7"/>
  <c r="AJ13" i="7"/>
  <c r="AI13" i="7"/>
  <c r="AH13" i="7"/>
  <c r="AF13" i="7"/>
  <c r="AE13" i="7"/>
  <c r="AD13" i="7"/>
  <c r="AC13" i="7"/>
  <c r="AB13" i="7"/>
  <c r="AA13" i="7"/>
  <c r="Z13" i="7"/>
  <c r="Y13" i="7"/>
  <c r="X13" i="7"/>
  <c r="AP12" i="7"/>
  <c r="AO12" i="7"/>
  <c r="AN12" i="7"/>
  <c r="AM12" i="7"/>
  <c r="AL12" i="7"/>
  <c r="AK12" i="7"/>
  <c r="AJ12" i="7"/>
  <c r="AI12" i="7"/>
  <c r="AG12" i="7"/>
  <c r="AF12" i="7"/>
  <c r="AE12" i="7"/>
  <c r="AD12" i="7"/>
  <c r="AC12" i="7"/>
  <c r="AB12" i="7"/>
  <c r="AA12" i="7"/>
  <c r="Z12" i="7"/>
  <c r="Y12" i="7"/>
  <c r="X12" i="7"/>
  <c r="AP11" i="7"/>
  <c r="AO11" i="7"/>
  <c r="AN11" i="7"/>
  <c r="AM11" i="7"/>
  <c r="AL11" i="7"/>
  <c r="AK11" i="7"/>
  <c r="AJ11" i="7"/>
  <c r="AH11" i="7"/>
  <c r="AG11" i="7"/>
  <c r="AF11" i="7"/>
  <c r="AE11" i="7"/>
  <c r="AD11" i="7"/>
  <c r="AC11" i="7"/>
  <c r="AB11" i="7"/>
  <c r="AA11" i="7"/>
  <c r="Z11" i="7"/>
  <c r="Y11" i="7"/>
  <c r="X11" i="7"/>
  <c r="AP10" i="7"/>
  <c r="AO10" i="7"/>
  <c r="AN10" i="7"/>
  <c r="AM10" i="7"/>
  <c r="AL10" i="7"/>
  <c r="AK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AP9" i="7"/>
  <c r="AO9" i="7"/>
  <c r="AN9" i="7"/>
  <c r="AM9" i="7"/>
  <c r="AL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AP8" i="7"/>
  <c r="AO8" i="7"/>
  <c r="AN8" i="7"/>
  <c r="AM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AP7" i="7"/>
  <c r="AO7" i="7"/>
  <c r="AN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AP6" i="7"/>
  <c r="AO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AP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N37" i="8"/>
  <c r="O38" i="8"/>
  <c r="P39" i="8"/>
  <c r="Q40" i="8"/>
  <c r="R41" i="8"/>
  <c r="S42" i="8"/>
  <c r="T43" i="8"/>
  <c r="U44" i="8"/>
  <c r="V45" i="8"/>
  <c r="W46" i="8"/>
  <c r="X47" i="8"/>
  <c r="V38" i="3" a="1"/>
  <c r="AO38" i="3" s="1"/>
  <c r="V38" i="7" a="1"/>
  <c r="V38" i="7" s="1"/>
  <c r="S41" i="7"/>
  <c r="S42" i="7" s="1"/>
  <c r="S43" i="7" s="1"/>
  <c r="S44" i="7" s="1"/>
  <c r="S45" i="7" s="1"/>
  <c r="S46" i="7" s="1"/>
  <c r="S47" i="7" s="1"/>
  <c r="S48" i="7" s="1"/>
  <c r="S49" i="7" s="1"/>
  <c r="S50" i="7" s="1"/>
  <c r="S51" i="7" s="1"/>
  <c r="S52" i="7" s="1"/>
  <c r="S53" i="7" s="1"/>
  <c r="S54" i="7" s="1"/>
  <c r="S55" i="7" s="1"/>
  <c r="S56" i="7" s="1"/>
  <c r="S57" i="7" s="1"/>
  <c r="S58" i="7" s="1"/>
  <c r="S59" i="7" s="1"/>
  <c r="S41" i="3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G53" i="7"/>
  <c r="B53" i="7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D47" i="9"/>
  <c r="F73" i="7" s="1"/>
  <c r="B47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F72" i="7" s="1"/>
  <c r="B46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F71" i="7" s="1"/>
  <c r="B45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F70" i="7" s="1"/>
  <c r="B44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F69" i="7" s="1"/>
  <c r="B43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F68" i="7" s="1"/>
  <c r="B42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F67" i="7" s="1"/>
  <c r="B41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F66" i="7" s="1"/>
  <c r="B40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F65" i="7" s="1"/>
  <c r="B39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F64" i="7" s="1"/>
  <c r="B38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F63" i="7" s="1"/>
  <c r="B37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F62" i="7" s="1"/>
  <c r="B36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F61" i="7" s="1"/>
  <c r="B35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F60" i="7" s="1"/>
  <c r="B34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F59" i="7" s="1"/>
  <c r="B33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F58" i="7" s="1"/>
  <c r="B32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F57" i="7" s="1"/>
  <c r="B31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F56" i="7" s="1"/>
  <c r="B30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F55" i="7" s="1"/>
  <c r="B29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F54" i="7" s="1"/>
  <c r="B28" i="9"/>
  <c r="E27" i="9"/>
  <c r="F27" i="9" s="1"/>
  <c r="G27" i="9" s="1"/>
  <c r="H27" i="9" s="1"/>
  <c r="I27" i="9" s="1"/>
  <c r="J27" i="9" s="1"/>
  <c r="K27" i="9" s="1"/>
  <c r="L27" i="9" s="1"/>
  <c r="M27" i="9" s="1"/>
  <c r="N27" i="9" s="1"/>
  <c r="O27" i="9" s="1"/>
  <c r="P27" i="9" s="1"/>
  <c r="Q27" i="9" s="1"/>
  <c r="R27" i="9" s="1"/>
  <c r="S27" i="9" s="1"/>
  <c r="T27" i="9" s="1"/>
  <c r="U27" i="9" s="1"/>
  <c r="V27" i="9" s="1"/>
  <c r="W27" i="9" s="1"/>
  <c r="X27" i="9" s="1"/>
  <c r="G53" i="3"/>
  <c r="W28" i="8"/>
  <c r="X28" i="8"/>
  <c r="W29" i="8"/>
  <c r="X29" i="8"/>
  <c r="W30" i="8"/>
  <c r="X30" i="8"/>
  <c r="W31" i="8"/>
  <c r="X31" i="8"/>
  <c r="W32" i="8"/>
  <c r="X32" i="8"/>
  <c r="W33" i="8"/>
  <c r="X33" i="8"/>
  <c r="W34" i="8"/>
  <c r="X34" i="8"/>
  <c r="W35" i="8"/>
  <c r="X35" i="8"/>
  <c r="W36" i="8"/>
  <c r="X36" i="8"/>
  <c r="W37" i="8"/>
  <c r="X37" i="8"/>
  <c r="W38" i="8"/>
  <c r="X38" i="8"/>
  <c r="W39" i="8"/>
  <c r="X39" i="8"/>
  <c r="W40" i="8"/>
  <c r="X40" i="8"/>
  <c r="W41" i="8"/>
  <c r="X41" i="8"/>
  <c r="W42" i="8"/>
  <c r="X42" i="8"/>
  <c r="W43" i="8"/>
  <c r="X43" i="8"/>
  <c r="W44" i="8"/>
  <c r="X44" i="8"/>
  <c r="W45" i="8"/>
  <c r="X45" i="8"/>
  <c r="X46" i="8"/>
  <c r="W4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F36" i="8"/>
  <c r="G36" i="8"/>
  <c r="H36" i="8"/>
  <c r="I36" i="8"/>
  <c r="J36" i="8"/>
  <c r="K36" i="8"/>
  <c r="L36" i="8"/>
  <c r="M36" i="8"/>
  <c r="N36" i="8"/>
  <c r="O36" i="8"/>
  <c r="P36" i="8"/>
  <c r="Q36" i="8"/>
  <c r="R36" i="8"/>
  <c r="S36" i="8"/>
  <c r="T36" i="8"/>
  <c r="U36" i="8"/>
  <c r="V36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U37" i="8"/>
  <c r="V37" i="8"/>
  <c r="F38" i="8"/>
  <c r="G38" i="8"/>
  <c r="H38" i="8"/>
  <c r="I38" i="8"/>
  <c r="J38" i="8"/>
  <c r="K38" i="8"/>
  <c r="L38" i="8"/>
  <c r="M38" i="8"/>
  <c r="N38" i="8"/>
  <c r="P38" i="8"/>
  <c r="Q38" i="8"/>
  <c r="R38" i="8"/>
  <c r="S38" i="8"/>
  <c r="T38" i="8"/>
  <c r="U38" i="8"/>
  <c r="V38" i="8"/>
  <c r="F39" i="8"/>
  <c r="G39" i="8"/>
  <c r="H39" i="8"/>
  <c r="I39" i="8"/>
  <c r="J39" i="8"/>
  <c r="K39" i="8"/>
  <c r="L39" i="8"/>
  <c r="M39" i="8"/>
  <c r="N39" i="8"/>
  <c r="O39" i="8"/>
  <c r="Q39" i="8"/>
  <c r="R39" i="8"/>
  <c r="S39" i="8"/>
  <c r="T39" i="8"/>
  <c r="U39" i="8"/>
  <c r="V39" i="8"/>
  <c r="F40" i="8"/>
  <c r="G40" i="8"/>
  <c r="H40" i="8"/>
  <c r="I40" i="8"/>
  <c r="J40" i="8"/>
  <c r="K40" i="8"/>
  <c r="L40" i="8"/>
  <c r="M40" i="8"/>
  <c r="N40" i="8"/>
  <c r="O40" i="8"/>
  <c r="P40" i="8"/>
  <c r="R40" i="8"/>
  <c r="S40" i="8"/>
  <c r="T40" i="8"/>
  <c r="U40" i="8"/>
  <c r="V40" i="8"/>
  <c r="F41" i="8"/>
  <c r="G41" i="8"/>
  <c r="H41" i="8"/>
  <c r="I41" i="8"/>
  <c r="J41" i="8"/>
  <c r="K41" i="8"/>
  <c r="L41" i="8"/>
  <c r="M41" i="8"/>
  <c r="N41" i="8"/>
  <c r="O41" i="8"/>
  <c r="P41" i="8"/>
  <c r="Q41" i="8"/>
  <c r="S41" i="8"/>
  <c r="T41" i="8"/>
  <c r="U41" i="8"/>
  <c r="V41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T42" i="8"/>
  <c r="U42" i="8"/>
  <c r="V42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U43" i="8"/>
  <c r="V43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S44" i="8"/>
  <c r="T44" i="8"/>
  <c r="V44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S45" i="8"/>
  <c r="T45" i="8"/>
  <c r="U45" i="8"/>
  <c r="F46" i="8"/>
  <c r="G46" i="8"/>
  <c r="H46" i="8"/>
  <c r="I46" i="8"/>
  <c r="J46" i="8"/>
  <c r="K46" i="8"/>
  <c r="L46" i="8"/>
  <c r="M46" i="8"/>
  <c r="N46" i="8"/>
  <c r="O46" i="8"/>
  <c r="P46" i="8"/>
  <c r="Q46" i="8"/>
  <c r="R46" i="8"/>
  <c r="S46" i="8"/>
  <c r="T46" i="8"/>
  <c r="U46" i="8"/>
  <c r="V46" i="8"/>
  <c r="F47" i="8"/>
  <c r="G47" i="8"/>
  <c r="H47" i="8"/>
  <c r="I47" i="8"/>
  <c r="J47" i="8"/>
  <c r="K47" i="8"/>
  <c r="L47" i="8"/>
  <c r="M47" i="8"/>
  <c r="N47" i="8"/>
  <c r="O47" i="8"/>
  <c r="P47" i="8"/>
  <c r="Q47" i="8"/>
  <c r="R47" i="8"/>
  <c r="S47" i="8"/>
  <c r="T47" i="8"/>
  <c r="U47" i="8"/>
  <c r="V47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28" i="8"/>
  <c r="D28" i="8"/>
  <c r="F54" i="3" s="1"/>
  <c r="D29" i="8"/>
  <c r="F55" i="3" s="1"/>
  <c r="D30" i="8"/>
  <c r="F56" i="3" s="1"/>
  <c r="D31" i="8"/>
  <c r="F57" i="3" s="1"/>
  <c r="D32" i="8"/>
  <c r="F58" i="3" s="1"/>
  <c r="D33" i="8"/>
  <c r="F59" i="3" s="1"/>
  <c r="D34" i="8"/>
  <c r="F60" i="3" s="1"/>
  <c r="D35" i="8"/>
  <c r="F61" i="3" s="1"/>
  <c r="D36" i="8"/>
  <c r="F62" i="3" s="1"/>
  <c r="D37" i="8"/>
  <c r="F63" i="3" s="1"/>
  <c r="D38" i="8"/>
  <c r="F64" i="3" s="1"/>
  <c r="D39" i="8"/>
  <c r="F65" i="3" s="1"/>
  <c r="D40" i="8"/>
  <c r="F66" i="3" s="1"/>
  <c r="D41" i="8"/>
  <c r="F67" i="3" s="1"/>
  <c r="D42" i="8"/>
  <c r="F68" i="3" s="1"/>
  <c r="D43" i="8"/>
  <c r="F69" i="3" s="1"/>
  <c r="D44" i="8"/>
  <c r="F70" i="3" s="1"/>
  <c r="D45" i="8"/>
  <c r="F71" i="3" s="1"/>
  <c r="D46" i="8"/>
  <c r="F72" i="3" s="1"/>
  <c r="D47" i="8"/>
  <c r="F73" i="3" s="1"/>
  <c r="E27" i="8"/>
  <c r="F27" i="8" s="1"/>
  <c r="G27" i="8" s="1"/>
  <c r="H27" i="8" s="1"/>
  <c r="I27" i="8" s="1"/>
  <c r="J27" i="8" s="1"/>
  <c r="K27" i="8" s="1"/>
  <c r="L27" i="8" s="1"/>
  <c r="M27" i="8" s="1"/>
  <c r="N27" i="8" s="1"/>
  <c r="O27" i="8" s="1"/>
  <c r="P27" i="8" s="1"/>
  <c r="Q27" i="8" s="1"/>
  <c r="R27" i="8" s="1"/>
  <c r="S27" i="8" s="1"/>
  <c r="T27" i="8" s="1"/>
  <c r="U27" i="8" s="1"/>
  <c r="V27" i="8" s="1"/>
  <c r="W27" i="8" s="1"/>
  <c r="X27" i="8" s="1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28" i="8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" i="2"/>
  <c r="B7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53" i="3"/>
  <c r="C51" i="7"/>
  <c r="D50" i="7"/>
  <c r="C47" i="9" s="1"/>
  <c r="D49" i="7"/>
  <c r="C46" i="9" s="1"/>
  <c r="D48" i="7"/>
  <c r="C45" i="9" s="1"/>
  <c r="D47" i="7"/>
  <c r="C44" i="9" s="1"/>
  <c r="D46" i="7"/>
  <c r="C43" i="9" s="1"/>
  <c r="D45" i="7"/>
  <c r="C42" i="9" s="1"/>
  <c r="D44" i="7"/>
  <c r="C41" i="9" s="1"/>
  <c r="D43" i="7"/>
  <c r="C40" i="9" s="1"/>
  <c r="D42" i="7"/>
  <c r="C39" i="9" s="1"/>
  <c r="D41" i="7"/>
  <c r="C38" i="9" s="1"/>
  <c r="D40" i="7"/>
  <c r="C37" i="9" s="1"/>
  <c r="D39" i="7"/>
  <c r="C36" i="9" s="1"/>
  <c r="D38" i="7"/>
  <c r="C35" i="9" s="1"/>
  <c r="D37" i="7"/>
  <c r="C34" i="9" s="1"/>
  <c r="D36" i="7"/>
  <c r="C33" i="9" s="1"/>
  <c r="D35" i="7"/>
  <c r="C32" i="9" s="1"/>
  <c r="D34" i="7"/>
  <c r="C31" i="9" s="1"/>
  <c r="D33" i="7"/>
  <c r="C30" i="9" s="1"/>
  <c r="A33" i="7"/>
  <c r="A34" i="7" s="1"/>
  <c r="D32" i="7"/>
  <c r="C29" i="9" s="1"/>
  <c r="A32" i="7"/>
  <c r="E31" i="7"/>
  <c r="G55" i="7" s="1"/>
  <c r="D31" i="7"/>
  <c r="C28" i="9" s="1"/>
  <c r="T26" i="7" a="1"/>
  <c r="T26" i="7" s="1"/>
  <c r="S26" i="7" a="1"/>
  <c r="S26" i="7" s="1"/>
  <c r="R26" i="7" a="1"/>
  <c r="R26" i="7" s="1"/>
  <c r="Q26" i="7" a="1"/>
  <c r="Q26" i="7" s="1"/>
  <c r="P26" i="7" a="1"/>
  <c r="P26" i="7" s="1"/>
  <c r="O26" i="7" a="1"/>
  <c r="O26" i="7" s="1"/>
  <c r="N26" i="7" a="1"/>
  <c r="N26" i="7" s="1"/>
  <c r="M26" i="7" a="1"/>
  <c r="M26" i="7" s="1"/>
  <c r="L26" i="7" a="1"/>
  <c r="L26" i="7" s="1"/>
  <c r="K26" i="7" a="1"/>
  <c r="K26" i="7" s="1"/>
  <c r="J26" i="7" a="1"/>
  <c r="J26" i="7" s="1"/>
  <c r="I26" i="7" a="1"/>
  <c r="I26" i="7" s="1"/>
  <c r="H26" i="7" a="1"/>
  <c r="H26" i="7" s="1"/>
  <c r="G26" i="7" a="1"/>
  <c r="G26" i="7" s="1"/>
  <c r="F26" i="7" a="1"/>
  <c r="F26" i="7" s="1"/>
  <c r="E26" i="7" a="1"/>
  <c r="E26" i="7" s="1"/>
  <c r="D26" i="7" a="1"/>
  <c r="D26" i="7" s="1"/>
  <c r="C26" i="7" a="1"/>
  <c r="C26" i="7" s="1"/>
  <c r="B26" i="7" a="1"/>
  <c r="B26" i="7" s="1"/>
  <c r="T25" i="7" a="1"/>
  <c r="T25" i="7" s="1"/>
  <c r="S25" i="7" a="1"/>
  <c r="S25" i="7" s="1"/>
  <c r="R25" i="7" a="1"/>
  <c r="R25" i="7" s="1"/>
  <c r="Q25" i="7" a="1"/>
  <c r="Q25" i="7" s="1"/>
  <c r="P25" i="7" a="1"/>
  <c r="P25" i="7" s="1"/>
  <c r="O25" i="7" a="1"/>
  <c r="O25" i="7" s="1"/>
  <c r="N25" i="7" a="1"/>
  <c r="N25" i="7" s="1"/>
  <c r="M25" i="7" a="1"/>
  <c r="M25" i="7" s="1"/>
  <c r="L25" i="7" a="1"/>
  <c r="L25" i="7" s="1"/>
  <c r="K25" i="7" a="1"/>
  <c r="K25" i="7" s="1"/>
  <c r="J25" i="7" a="1"/>
  <c r="J25" i="7" s="1"/>
  <c r="I25" i="7" a="1"/>
  <c r="I25" i="7" s="1"/>
  <c r="H25" i="7" a="1"/>
  <c r="H25" i="7" s="1"/>
  <c r="H27" i="7" s="1"/>
  <c r="G25" i="7" a="1"/>
  <c r="G25" i="7" s="1"/>
  <c r="F25" i="7" a="1"/>
  <c r="F25" i="7" s="1"/>
  <c r="E25" i="7" a="1"/>
  <c r="E25" i="7" s="1"/>
  <c r="E27" i="7" s="1"/>
  <c r="D25" i="7" a="1"/>
  <c r="D25" i="7" s="1"/>
  <c r="C25" i="7" a="1"/>
  <c r="C25" i="7" s="1"/>
  <c r="B25" i="7" a="1"/>
  <c r="B25" i="7" s="1"/>
  <c r="C24" i="7"/>
  <c r="D24" i="7" s="1"/>
  <c r="E24" i="7" s="1"/>
  <c r="F24" i="7" s="1"/>
  <c r="G24" i="7" s="1"/>
  <c r="H24" i="7" s="1"/>
  <c r="I24" i="7" s="1"/>
  <c r="J24" i="7" s="1"/>
  <c r="K24" i="7" s="1"/>
  <c r="L24" i="7" s="1"/>
  <c r="M24" i="7" s="1"/>
  <c r="N24" i="7" s="1"/>
  <c r="O24" i="7" s="1"/>
  <c r="P24" i="7" s="1"/>
  <c r="Q24" i="7" s="1"/>
  <c r="R24" i="7" s="1"/>
  <c r="S24" i="7" s="1"/>
  <c r="T24" i="7" s="1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C51" i="3"/>
  <c r="E31" i="3"/>
  <c r="G55" i="3" s="1"/>
  <c r="A32" i="3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D32" i="3"/>
  <c r="C29" i="8" s="1"/>
  <c r="D33" i="3"/>
  <c r="C30" i="8" s="1"/>
  <c r="D34" i="3"/>
  <c r="C31" i="8" s="1"/>
  <c r="D35" i="3"/>
  <c r="C32" i="8" s="1"/>
  <c r="D36" i="3"/>
  <c r="C33" i="8" s="1"/>
  <c r="D37" i="3"/>
  <c r="C34" i="8" s="1"/>
  <c r="D38" i="3"/>
  <c r="C35" i="8" s="1"/>
  <c r="D39" i="3"/>
  <c r="C36" i="8" s="1"/>
  <c r="D40" i="3"/>
  <c r="C37" i="8" s="1"/>
  <c r="D41" i="3"/>
  <c r="C38" i="8" s="1"/>
  <c r="D42" i="3"/>
  <c r="C39" i="8" s="1"/>
  <c r="D43" i="3"/>
  <c r="C40" i="8" s="1"/>
  <c r="D44" i="3"/>
  <c r="C41" i="8" s="1"/>
  <c r="D45" i="3"/>
  <c r="C42" i="8" s="1"/>
  <c r="D46" i="3"/>
  <c r="C43" i="8" s="1"/>
  <c r="D47" i="3"/>
  <c r="C44" i="8" s="1"/>
  <c r="D48" i="3"/>
  <c r="C45" i="8" s="1"/>
  <c r="D49" i="3"/>
  <c r="C46" i="8" s="1"/>
  <c r="D50" i="3"/>
  <c r="C47" i="8" s="1"/>
  <c r="D31" i="3"/>
  <c r="C28" i="8" s="1"/>
  <c r="S25" i="3" a="1"/>
  <c r="S25" i="3" s="1"/>
  <c r="T25" i="3" a="1"/>
  <c r="T25" i="3" s="1"/>
  <c r="S26" i="3" a="1"/>
  <c r="S26" i="3" s="1"/>
  <c r="T26" i="3" a="1"/>
  <c r="T26" i="3" s="1"/>
  <c r="C25" i="3" a="1"/>
  <c r="C25" i="3" s="1"/>
  <c r="D25" i="3" a="1"/>
  <c r="D25" i="3" s="1"/>
  <c r="E25" i="3" a="1"/>
  <c r="E25" i="3" s="1"/>
  <c r="F25" i="3" a="1"/>
  <c r="F25" i="3" s="1"/>
  <c r="G25" i="3" a="1"/>
  <c r="G25" i="3" s="1"/>
  <c r="H25" i="3" a="1"/>
  <c r="H25" i="3" s="1"/>
  <c r="I25" i="3" a="1"/>
  <c r="I25" i="3" s="1"/>
  <c r="J25" i="3" a="1"/>
  <c r="J25" i="3" s="1"/>
  <c r="K25" i="3" a="1"/>
  <c r="K25" i="3" s="1"/>
  <c r="L25" i="3" a="1"/>
  <c r="L25" i="3" s="1"/>
  <c r="M25" i="3" a="1"/>
  <c r="M25" i="3" s="1"/>
  <c r="N25" i="3" a="1"/>
  <c r="N25" i="3" s="1"/>
  <c r="O25" i="3" a="1"/>
  <c r="O25" i="3" s="1"/>
  <c r="P25" i="3" a="1"/>
  <c r="P25" i="3" s="1"/>
  <c r="Q25" i="3" a="1"/>
  <c r="Q25" i="3" s="1"/>
  <c r="R25" i="3" a="1"/>
  <c r="R25" i="3" s="1"/>
  <c r="C26" i="3" a="1"/>
  <c r="C26" i="3" s="1"/>
  <c r="D26" i="3" a="1"/>
  <c r="D26" i="3" s="1"/>
  <c r="E26" i="3" a="1"/>
  <c r="E26" i="3" s="1"/>
  <c r="F26" i="3" a="1"/>
  <c r="F26" i="3" s="1"/>
  <c r="G26" i="3" a="1"/>
  <c r="G26" i="3" s="1"/>
  <c r="H26" i="3" a="1"/>
  <c r="H26" i="3" s="1"/>
  <c r="I26" i="3" a="1"/>
  <c r="I26" i="3" s="1"/>
  <c r="J26" i="3" a="1"/>
  <c r="J26" i="3" s="1"/>
  <c r="K26" i="3" a="1"/>
  <c r="K26" i="3" s="1"/>
  <c r="L26" i="3" a="1"/>
  <c r="L26" i="3" s="1"/>
  <c r="M26" i="3" a="1"/>
  <c r="M26" i="3" s="1"/>
  <c r="N26" i="3" a="1"/>
  <c r="N26" i="3" s="1"/>
  <c r="O26" i="3" a="1"/>
  <c r="O26" i="3" s="1"/>
  <c r="P26" i="3" a="1"/>
  <c r="P26" i="3" s="1"/>
  <c r="Q26" i="3" a="1"/>
  <c r="Q26" i="3" s="1"/>
  <c r="R26" i="3" a="1"/>
  <c r="R26" i="3" s="1"/>
  <c r="B26" i="3" a="1"/>
  <c r="B26" i="3" s="1"/>
  <c r="B25" i="3" a="1"/>
  <c r="B25" i="3" s="1"/>
  <c r="C24" i="3"/>
  <c r="D24" i="3" s="1"/>
  <c r="E24" i="3" s="1"/>
  <c r="F24" i="3" s="1"/>
  <c r="G24" i="3" s="1"/>
  <c r="H24" i="3" s="1"/>
  <c r="I24" i="3" s="1"/>
  <c r="J24" i="3" s="1"/>
  <c r="K24" i="3" s="1"/>
  <c r="L24" i="3" s="1"/>
  <c r="M24" i="3" s="1"/>
  <c r="N24" i="3" s="1"/>
  <c r="O24" i="3" s="1"/>
  <c r="P24" i="3" s="1"/>
  <c r="Q24" i="3" s="1"/>
  <c r="R24" i="3" s="1"/>
  <c r="S24" i="3" s="1"/>
  <c r="T24" i="3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" i="1"/>
  <c r="AS45" i="7" l="1"/>
  <c r="AS44" i="7"/>
  <c r="AS43" i="7"/>
  <c r="AS42" i="7"/>
  <c r="AS40" i="7"/>
  <c r="AS38" i="7"/>
  <c r="AS35" i="7"/>
  <c r="AS48" i="7"/>
  <c r="AS32" i="7"/>
  <c r="AS47" i="7"/>
  <c r="D63" i="14"/>
  <c r="F65" i="14"/>
  <c r="A34" i="14"/>
  <c r="P28" i="14"/>
  <c r="E36" i="14" s="1"/>
  <c r="Q28" i="14"/>
  <c r="E35" i="14" s="1"/>
  <c r="T27" i="14"/>
  <c r="T28" i="14" s="1"/>
  <c r="E32" i="14" s="1"/>
  <c r="M28" i="14"/>
  <c r="E39" i="14" s="1"/>
  <c r="H27" i="14"/>
  <c r="H28" i="14" s="1"/>
  <c r="E44" i="14" s="1"/>
  <c r="I27" i="14"/>
  <c r="I28" i="14" s="1"/>
  <c r="E43" i="14" s="1"/>
  <c r="J27" i="14"/>
  <c r="AE38" i="14"/>
  <c r="D62" i="14"/>
  <c r="F64" i="14"/>
  <c r="AF38" i="14"/>
  <c r="D61" i="14"/>
  <c r="F63" i="14"/>
  <c r="AG38" i="14"/>
  <c r="D55" i="14"/>
  <c r="D56" i="14"/>
  <c r="D57" i="14"/>
  <c r="D58" i="14"/>
  <c r="D59" i="14"/>
  <c r="D60" i="14"/>
  <c r="F62" i="14"/>
  <c r="AH38" i="14"/>
  <c r="D54" i="14"/>
  <c r="F61" i="14"/>
  <c r="AI38" i="14"/>
  <c r="F55" i="14"/>
  <c r="F56" i="14"/>
  <c r="F57" i="14"/>
  <c r="F58" i="14"/>
  <c r="F59" i="14"/>
  <c r="F60" i="14"/>
  <c r="AJ38" i="14"/>
  <c r="F54" i="14"/>
  <c r="G55" i="14"/>
  <c r="D73" i="14"/>
  <c r="AK38" i="14"/>
  <c r="D51" i="14"/>
  <c r="D72" i="14"/>
  <c r="V38" i="14"/>
  <c r="AL38" i="14"/>
  <c r="D71" i="14"/>
  <c r="F73" i="14"/>
  <c r="W38" i="14"/>
  <c r="AM38" i="14"/>
  <c r="D70" i="14"/>
  <c r="F72" i="14"/>
  <c r="F31" i="14"/>
  <c r="X38" i="14"/>
  <c r="AN38" i="14"/>
  <c r="D69" i="14"/>
  <c r="F71" i="14"/>
  <c r="Y38" i="14"/>
  <c r="AO38" i="14"/>
  <c r="D68" i="14"/>
  <c r="F70" i="14"/>
  <c r="Z38" i="14"/>
  <c r="D67" i="14"/>
  <c r="F69" i="14"/>
  <c r="AA38" i="14"/>
  <c r="D66" i="14"/>
  <c r="F68" i="14"/>
  <c r="AB38" i="14"/>
  <c r="D65" i="14"/>
  <c r="F67" i="14"/>
  <c r="D64" i="14"/>
  <c r="F66" i="14"/>
  <c r="F33" i="13"/>
  <c r="G33" i="13" s="1"/>
  <c r="H33" i="13" s="1"/>
  <c r="M33" i="13" s="1"/>
  <c r="F32" i="13"/>
  <c r="G32" i="13" s="1"/>
  <c r="H32" i="13" s="1"/>
  <c r="M32" i="13" s="1"/>
  <c r="F31" i="13"/>
  <c r="G31" i="13" s="1"/>
  <c r="G65" i="13"/>
  <c r="F41" i="13"/>
  <c r="G41" i="13" s="1"/>
  <c r="H41" i="13" s="1"/>
  <c r="M41" i="13" s="1"/>
  <c r="L28" i="13"/>
  <c r="E40" i="13" s="1"/>
  <c r="A35" i="13"/>
  <c r="A36" i="13" s="1"/>
  <c r="N28" i="13"/>
  <c r="E38" i="13" s="1"/>
  <c r="G61" i="13"/>
  <c r="F37" i="13"/>
  <c r="G37" i="13" s="1"/>
  <c r="H37" i="13" s="1"/>
  <c r="M37" i="13" s="1"/>
  <c r="F35" i="13"/>
  <c r="G35" i="13" s="1"/>
  <c r="H35" i="13" s="1"/>
  <c r="M35" i="13" s="1"/>
  <c r="G60" i="13"/>
  <c r="F36" i="13"/>
  <c r="G36" i="13" s="1"/>
  <c r="H36" i="13" s="1"/>
  <c r="M36" i="13" s="1"/>
  <c r="G59" i="13"/>
  <c r="F34" i="13"/>
  <c r="G34" i="13" s="1"/>
  <c r="H34" i="13" s="1"/>
  <c r="M34" i="13" s="1"/>
  <c r="G58" i="13"/>
  <c r="G57" i="13"/>
  <c r="D28" i="13"/>
  <c r="E48" i="13" s="1"/>
  <c r="G56" i="13"/>
  <c r="F39" i="13"/>
  <c r="G39" i="13" s="1"/>
  <c r="H39" i="13" s="1"/>
  <c r="M39" i="13" s="1"/>
  <c r="G63" i="13"/>
  <c r="F40" i="13"/>
  <c r="G40" i="13" s="1"/>
  <c r="H40" i="13" s="1"/>
  <c r="M40" i="13" s="1"/>
  <c r="G28" i="13"/>
  <c r="E45" i="13" s="1"/>
  <c r="H27" i="13"/>
  <c r="I27" i="13"/>
  <c r="J27" i="13"/>
  <c r="J28" i="13" s="1"/>
  <c r="E42" i="13" s="1"/>
  <c r="F42" i="13" s="1"/>
  <c r="G42" i="13" s="1"/>
  <c r="H42" i="13" s="1"/>
  <c r="M42" i="13" s="1"/>
  <c r="D63" i="13"/>
  <c r="F65" i="13"/>
  <c r="AI38" i="13"/>
  <c r="D62" i="13"/>
  <c r="F64" i="13"/>
  <c r="AJ38" i="13"/>
  <c r="D61" i="13"/>
  <c r="F63" i="13"/>
  <c r="AK38" i="13"/>
  <c r="D55" i="13"/>
  <c r="D56" i="13"/>
  <c r="D57" i="13"/>
  <c r="D58" i="13"/>
  <c r="D59" i="13"/>
  <c r="D60" i="13"/>
  <c r="F62" i="13"/>
  <c r="V38" i="13"/>
  <c r="AL38" i="13"/>
  <c r="D54" i="13"/>
  <c r="F61" i="13"/>
  <c r="W38" i="13"/>
  <c r="AM38" i="13"/>
  <c r="F55" i="13"/>
  <c r="F56" i="13"/>
  <c r="F57" i="13"/>
  <c r="F58" i="13"/>
  <c r="F59" i="13"/>
  <c r="F60" i="13"/>
  <c r="X38" i="13"/>
  <c r="AN38" i="13"/>
  <c r="F54" i="13"/>
  <c r="D73" i="13"/>
  <c r="Y38" i="13"/>
  <c r="AO38" i="13"/>
  <c r="D51" i="13"/>
  <c r="D72" i="13"/>
  <c r="Z38" i="13"/>
  <c r="D71" i="13"/>
  <c r="F73" i="13"/>
  <c r="AA38" i="13"/>
  <c r="D70" i="13"/>
  <c r="F72" i="13"/>
  <c r="AB38" i="13"/>
  <c r="D69" i="13"/>
  <c r="F71" i="13"/>
  <c r="AC38" i="13"/>
  <c r="D68" i="13"/>
  <c r="F70" i="13"/>
  <c r="AD38" i="13"/>
  <c r="D67" i="13"/>
  <c r="F69" i="13"/>
  <c r="AE38" i="13"/>
  <c r="D66" i="13"/>
  <c r="F68" i="13"/>
  <c r="AF38" i="13"/>
  <c r="D65" i="13"/>
  <c r="F67" i="13"/>
  <c r="D64" i="13"/>
  <c r="F66" i="13"/>
  <c r="D47" i="12"/>
  <c r="D43" i="12"/>
  <c r="D39" i="12"/>
  <c r="D35" i="12"/>
  <c r="D31" i="12"/>
  <c r="D48" i="12"/>
  <c r="D44" i="12"/>
  <c r="D40" i="12"/>
  <c r="D36" i="12"/>
  <c r="D32" i="12"/>
  <c r="D49" i="12"/>
  <c r="D45" i="12"/>
  <c r="D41" i="12"/>
  <c r="D37" i="12"/>
  <c r="D33" i="12"/>
  <c r="D50" i="12"/>
  <c r="D46" i="12"/>
  <c r="D42" i="12"/>
  <c r="D38" i="12"/>
  <c r="D34" i="12"/>
  <c r="E31" i="12"/>
  <c r="G27" i="7"/>
  <c r="M27" i="7"/>
  <c r="N27" i="7"/>
  <c r="T27" i="7"/>
  <c r="T28" i="7" s="1"/>
  <c r="E32" i="7" s="1"/>
  <c r="G56" i="7" s="1"/>
  <c r="F27" i="7"/>
  <c r="AK38" i="7"/>
  <c r="J27" i="7"/>
  <c r="K27" i="7"/>
  <c r="Z38" i="3"/>
  <c r="L27" i="7"/>
  <c r="AB38" i="3"/>
  <c r="AA38" i="3"/>
  <c r="AC38" i="3"/>
  <c r="AD38" i="3"/>
  <c r="AE38" i="3"/>
  <c r="AF38" i="3"/>
  <c r="AG38" i="3"/>
  <c r="AH38" i="3"/>
  <c r="AI38" i="3"/>
  <c r="AJ38" i="3"/>
  <c r="AK38" i="3"/>
  <c r="V38" i="3"/>
  <c r="AL38" i="3"/>
  <c r="W38" i="3"/>
  <c r="AM38" i="3"/>
  <c r="X38" i="3"/>
  <c r="AN38" i="3"/>
  <c r="Y38" i="3"/>
  <c r="AJ38" i="7"/>
  <c r="AI38" i="7"/>
  <c r="AH38" i="7"/>
  <c r="AG38" i="7"/>
  <c r="AF38" i="7"/>
  <c r="AE38" i="7"/>
  <c r="AD38" i="7"/>
  <c r="AC38" i="7"/>
  <c r="AB38" i="7"/>
  <c r="AA38" i="7"/>
  <c r="Z38" i="7"/>
  <c r="AO38" i="7"/>
  <c r="Y38" i="7"/>
  <c r="AN38" i="7"/>
  <c r="X38" i="7"/>
  <c r="AM38" i="7"/>
  <c r="W38" i="7"/>
  <c r="AL38" i="7"/>
  <c r="D62" i="7"/>
  <c r="D70" i="7"/>
  <c r="D57" i="7"/>
  <c r="D65" i="7"/>
  <c r="D73" i="7"/>
  <c r="D60" i="7"/>
  <c r="D68" i="7"/>
  <c r="D55" i="7"/>
  <c r="D63" i="7"/>
  <c r="D71" i="7"/>
  <c r="D58" i="7"/>
  <c r="D66" i="7"/>
  <c r="D61" i="7"/>
  <c r="D69" i="7"/>
  <c r="D56" i="7"/>
  <c r="D64" i="7"/>
  <c r="D72" i="7"/>
  <c r="D59" i="7"/>
  <c r="D67" i="7"/>
  <c r="D54" i="7"/>
  <c r="B27" i="3"/>
  <c r="D27" i="3"/>
  <c r="F74" i="3"/>
  <c r="D66" i="3"/>
  <c r="D65" i="3"/>
  <c r="D64" i="3"/>
  <c r="D70" i="3"/>
  <c r="D63" i="3"/>
  <c r="D62" i="3"/>
  <c r="D61" i="3"/>
  <c r="D60" i="3"/>
  <c r="D59" i="3"/>
  <c r="D58" i="3"/>
  <c r="D73" i="3"/>
  <c r="D57" i="3"/>
  <c r="D72" i="3"/>
  <c r="D56" i="3"/>
  <c r="D71" i="3"/>
  <c r="D55" i="3"/>
  <c r="D69" i="3"/>
  <c r="D68" i="3"/>
  <c r="D67" i="3"/>
  <c r="D54" i="3"/>
  <c r="F31" i="7"/>
  <c r="G31" i="7" s="1"/>
  <c r="I27" i="7"/>
  <c r="Q27" i="7"/>
  <c r="R27" i="7"/>
  <c r="O27" i="7"/>
  <c r="K28" i="7" s="1"/>
  <c r="E41" i="7" s="1"/>
  <c r="P27" i="7"/>
  <c r="P28" i="7" s="1"/>
  <c r="E36" i="7" s="1"/>
  <c r="G60" i="7" s="1"/>
  <c r="A35" i="7"/>
  <c r="M28" i="7"/>
  <c r="E39" i="7" s="1"/>
  <c r="G63" i="7" s="1"/>
  <c r="Q28" i="7"/>
  <c r="E35" i="7" s="1"/>
  <c r="G59" i="7" s="1"/>
  <c r="B27" i="7"/>
  <c r="C27" i="7"/>
  <c r="D27" i="7"/>
  <c r="S27" i="7"/>
  <c r="S28" i="7" s="1"/>
  <c r="E33" i="7" s="1"/>
  <c r="D51" i="7"/>
  <c r="D51" i="3"/>
  <c r="F31" i="3"/>
  <c r="F31" i="12" s="1"/>
  <c r="O27" i="3"/>
  <c r="H27" i="3"/>
  <c r="P27" i="3"/>
  <c r="N27" i="3"/>
  <c r="T27" i="3"/>
  <c r="T28" i="3" s="1"/>
  <c r="E32" i="3" s="1"/>
  <c r="S27" i="3"/>
  <c r="S28" i="3" s="1"/>
  <c r="E33" i="3" s="1"/>
  <c r="L27" i="3"/>
  <c r="M27" i="3"/>
  <c r="J27" i="3"/>
  <c r="K27" i="3"/>
  <c r="E27" i="3"/>
  <c r="R27" i="3"/>
  <c r="Q27" i="3"/>
  <c r="I27" i="3"/>
  <c r="G27" i="3"/>
  <c r="F27" i="3"/>
  <c r="C27" i="3"/>
  <c r="F39" i="14" l="1"/>
  <c r="G39" i="14" s="1"/>
  <c r="H39" i="14" s="1"/>
  <c r="F36" i="14"/>
  <c r="G36" i="14" s="1"/>
  <c r="H36" i="14" s="1"/>
  <c r="F35" i="14"/>
  <c r="G35" i="14" s="1"/>
  <c r="H35" i="14" s="1"/>
  <c r="G59" i="14"/>
  <c r="G67" i="14"/>
  <c r="F43" i="14"/>
  <c r="G43" i="14" s="1"/>
  <c r="H43" i="14" s="1"/>
  <c r="G31" i="14"/>
  <c r="G28" i="14"/>
  <c r="E45" i="14" s="1"/>
  <c r="F28" i="14"/>
  <c r="E46" i="14" s="1"/>
  <c r="F74" i="14"/>
  <c r="E28" i="14"/>
  <c r="E47" i="14" s="1"/>
  <c r="O28" i="14"/>
  <c r="E37" i="14" s="1"/>
  <c r="G68" i="14"/>
  <c r="F44" i="14"/>
  <c r="G44" i="14" s="1"/>
  <c r="H44" i="14" s="1"/>
  <c r="G56" i="14"/>
  <c r="D28" i="14"/>
  <c r="E48" i="14" s="1"/>
  <c r="S28" i="14"/>
  <c r="E33" i="14" s="1"/>
  <c r="N28" i="14"/>
  <c r="E38" i="14" s="1"/>
  <c r="C28" i="14"/>
  <c r="E49" i="14" s="1"/>
  <c r="F32" i="14"/>
  <c r="G32" i="14" s="1"/>
  <c r="H32" i="14" s="1"/>
  <c r="G63" i="14"/>
  <c r="R28" i="14"/>
  <c r="E34" i="14" s="1"/>
  <c r="L28" i="14"/>
  <c r="E40" i="14" s="1"/>
  <c r="E54" i="14"/>
  <c r="D74" i="14"/>
  <c r="B28" i="14"/>
  <c r="E50" i="14" s="1"/>
  <c r="G60" i="14"/>
  <c r="J28" i="14"/>
  <c r="E42" i="14" s="1"/>
  <c r="A35" i="14"/>
  <c r="K28" i="14"/>
  <c r="E41" i="14" s="1"/>
  <c r="F74" i="13"/>
  <c r="G66" i="13"/>
  <c r="I28" i="13"/>
  <c r="E43" i="13" s="1"/>
  <c r="C28" i="13"/>
  <c r="E49" i="13" s="1"/>
  <c r="H31" i="13"/>
  <c r="M31" i="13" s="1"/>
  <c r="H28" i="13"/>
  <c r="E44" i="13" s="1"/>
  <c r="F38" i="13"/>
  <c r="G38" i="13" s="1"/>
  <c r="H38" i="13" s="1"/>
  <c r="M38" i="13" s="1"/>
  <c r="G62" i="13"/>
  <c r="G72" i="13"/>
  <c r="B28" i="13"/>
  <c r="E50" i="13" s="1"/>
  <c r="A37" i="13"/>
  <c r="G69" i="13"/>
  <c r="F45" i="13"/>
  <c r="G45" i="13" s="1"/>
  <c r="H45" i="13" s="1"/>
  <c r="M45" i="13" s="1"/>
  <c r="F28" i="13"/>
  <c r="E46" i="13" s="1"/>
  <c r="F48" i="13"/>
  <c r="G48" i="13" s="1"/>
  <c r="H48" i="13" s="1"/>
  <c r="M48" i="13" s="1"/>
  <c r="G64" i="13"/>
  <c r="E28" i="13"/>
  <c r="E47" i="13" s="1"/>
  <c r="E54" i="13"/>
  <c r="D74" i="13"/>
  <c r="D51" i="12"/>
  <c r="G57" i="3"/>
  <c r="E33" i="12"/>
  <c r="G56" i="3"/>
  <c r="E32" i="12"/>
  <c r="F32" i="7"/>
  <c r="G32" i="7" s="1"/>
  <c r="H32" i="7" s="1"/>
  <c r="B28" i="7"/>
  <c r="E50" i="7" s="1"/>
  <c r="F50" i="7" s="1"/>
  <c r="G50" i="7" s="1"/>
  <c r="H50" i="7" s="1"/>
  <c r="F33" i="7"/>
  <c r="G33" i="7" s="1"/>
  <c r="H33" i="7" s="1"/>
  <c r="G57" i="7"/>
  <c r="E54" i="7"/>
  <c r="D74" i="7"/>
  <c r="F41" i="7"/>
  <c r="G41" i="7" s="1"/>
  <c r="H41" i="7" s="1"/>
  <c r="G65" i="7"/>
  <c r="F74" i="7"/>
  <c r="I28" i="3"/>
  <c r="E43" i="3" s="1"/>
  <c r="Q28" i="3"/>
  <c r="E35" i="3" s="1"/>
  <c r="R28" i="3"/>
  <c r="E34" i="3" s="1"/>
  <c r="E54" i="3"/>
  <c r="D74" i="3"/>
  <c r="L28" i="7"/>
  <c r="E40" i="7" s="1"/>
  <c r="J28" i="7"/>
  <c r="E42" i="7" s="1"/>
  <c r="G66" i="7" s="1"/>
  <c r="G28" i="7"/>
  <c r="E45" i="7" s="1"/>
  <c r="H31" i="7"/>
  <c r="A36" i="7"/>
  <c r="F35" i="7"/>
  <c r="G35" i="7" s="1"/>
  <c r="H35" i="7" s="1"/>
  <c r="I28" i="7"/>
  <c r="E43" i="7" s="1"/>
  <c r="G67" i="7" s="1"/>
  <c r="F39" i="7"/>
  <c r="G39" i="7" s="1"/>
  <c r="H39" i="7" s="1"/>
  <c r="H28" i="7"/>
  <c r="E44" i="7" s="1"/>
  <c r="G68" i="7" s="1"/>
  <c r="D28" i="7"/>
  <c r="E48" i="7" s="1"/>
  <c r="G72" i="7" s="1"/>
  <c r="O28" i="7"/>
  <c r="E37" i="7" s="1"/>
  <c r="G61" i="7" s="1"/>
  <c r="C28" i="7"/>
  <c r="E49" i="7" s="1"/>
  <c r="G73" i="7" s="1"/>
  <c r="F28" i="7"/>
  <c r="E46" i="7" s="1"/>
  <c r="G70" i="7" s="1"/>
  <c r="N28" i="7"/>
  <c r="E38" i="7" s="1"/>
  <c r="G62" i="7" s="1"/>
  <c r="F36" i="7"/>
  <c r="G36" i="7" s="1"/>
  <c r="H36" i="7" s="1"/>
  <c r="R28" i="7"/>
  <c r="E34" i="7" s="1"/>
  <c r="G58" i="7" s="1"/>
  <c r="E28" i="7"/>
  <c r="E47" i="7" s="1"/>
  <c r="G71" i="7" s="1"/>
  <c r="G31" i="3"/>
  <c r="G31" i="12" s="1"/>
  <c r="F32" i="3"/>
  <c r="F33" i="3"/>
  <c r="E28" i="3"/>
  <c r="E47" i="3" s="1"/>
  <c r="N28" i="3"/>
  <c r="E38" i="3" s="1"/>
  <c r="J28" i="3"/>
  <c r="E42" i="3" s="1"/>
  <c r="M28" i="3"/>
  <c r="E39" i="3" s="1"/>
  <c r="O28" i="3"/>
  <c r="E37" i="3" s="1"/>
  <c r="K28" i="3"/>
  <c r="E41" i="3" s="1"/>
  <c r="L28" i="3"/>
  <c r="E40" i="3" s="1"/>
  <c r="B28" i="3"/>
  <c r="E50" i="3" s="1"/>
  <c r="E50" i="12" s="1"/>
  <c r="C28" i="3"/>
  <c r="E49" i="3" s="1"/>
  <c r="P28" i="3"/>
  <c r="E36" i="3" s="1"/>
  <c r="F28" i="3"/>
  <c r="E46" i="3" s="1"/>
  <c r="D28" i="3"/>
  <c r="E48" i="3" s="1"/>
  <c r="G28" i="3"/>
  <c r="E45" i="3" s="1"/>
  <c r="H28" i="3"/>
  <c r="E44" i="3" s="1"/>
  <c r="I49" i="14" l="1" a="1"/>
  <c r="I49" i="14" s="1"/>
  <c r="J49" i="14" s="1"/>
  <c r="I48" i="14" a="1"/>
  <c r="I48" i="14" s="1"/>
  <c r="J48" i="14" s="1"/>
  <c r="I46" i="14" a="1"/>
  <c r="I46" i="14" s="1"/>
  <c r="J46" i="14" s="1"/>
  <c r="I40" i="14" a="1"/>
  <c r="I40" i="14" s="1"/>
  <c r="J40" i="14" s="1"/>
  <c r="I39" i="14" a="1"/>
  <c r="I39" i="14" s="1"/>
  <c r="J39" i="14" s="1"/>
  <c r="I38" i="14" a="1"/>
  <c r="I38" i="14" s="1"/>
  <c r="J38" i="14" s="1"/>
  <c r="I45" i="14" a="1"/>
  <c r="I45" i="14" s="1"/>
  <c r="J45" i="14" s="1"/>
  <c r="I37" i="14" a="1"/>
  <c r="I37" i="14" s="1"/>
  <c r="J37" i="14" s="1"/>
  <c r="I44" i="14" a="1"/>
  <c r="I44" i="14" s="1"/>
  <c r="J44" i="14" s="1"/>
  <c r="I36" i="14" a="1"/>
  <c r="I36" i="14" s="1"/>
  <c r="J36" i="14" s="1"/>
  <c r="I43" i="14" a="1"/>
  <c r="I43" i="14" s="1"/>
  <c r="J43" i="14" s="1"/>
  <c r="I35" i="14" a="1"/>
  <c r="I35" i="14" s="1"/>
  <c r="J35" i="14" s="1"/>
  <c r="I50" i="14" a="1"/>
  <c r="I50" i="14" s="1"/>
  <c r="J50" i="14" s="1"/>
  <c r="I42" i="14" a="1"/>
  <c r="I42" i="14" s="1"/>
  <c r="J42" i="14" s="1"/>
  <c r="I34" i="14" a="1"/>
  <c r="I34" i="14" s="1"/>
  <c r="J34" i="14" s="1"/>
  <c r="I33" i="14" a="1"/>
  <c r="I33" i="14" s="1"/>
  <c r="J33" i="14" s="1"/>
  <c r="I31" i="14" a="1"/>
  <c r="I31" i="14" s="1"/>
  <c r="J31" i="14" s="1"/>
  <c r="I41" i="14" a="1"/>
  <c r="I41" i="14" s="1"/>
  <c r="J41" i="14" s="1"/>
  <c r="I32" i="14" a="1"/>
  <c r="I32" i="14" s="1"/>
  <c r="J32" i="14" s="1"/>
  <c r="I47" i="14" a="1"/>
  <c r="I47" i="14" s="1"/>
  <c r="J47" i="14" s="1"/>
  <c r="G69" i="14"/>
  <c r="F45" i="14"/>
  <c r="G45" i="14" s="1"/>
  <c r="H45" i="14" s="1"/>
  <c r="H31" i="14"/>
  <c r="G61" i="14"/>
  <c r="F37" i="14"/>
  <c r="G37" i="14" s="1"/>
  <c r="H37" i="14" s="1"/>
  <c r="G71" i="14"/>
  <c r="F47" i="14"/>
  <c r="G47" i="14" s="1"/>
  <c r="H47" i="14" s="1"/>
  <c r="A36" i="14"/>
  <c r="G73" i="14"/>
  <c r="F49" i="14"/>
  <c r="G49" i="14" s="1"/>
  <c r="H49" i="14" s="1"/>
  <c r="G66" i="14"/>
  <c r="F42" i="14"/>
  <c r="G42" i="14" s="1"/>
  <c r="H42" i="14" s="1"/>
  <c r="F38" i="14"/>
  <c r="G38" i="14" s="1"/>
  <c r="H38" i="14" s="1"/>
  <c r="G62" i="14"/>
  <c r="F40" i="14"/>
  <c r="G40" i="14" s="1"/>
  <c r="H40" i="14" s="1"/>
  <c r="G64" i="14"/>
  <c r="G57" i="14"/>
  <c r="F33" i="14"/>
  <c r="G33" i="14" s="1"/>
  <c r="H33" i="14" s="1"/>
  <c r="F50" i="14"/>
  <c r="G50" i="14" s="1"/>
  <c r="H50" i="14" s="1"/>
  <c r="F34" i="14"/>
  <c r="G34" i="14" s="1"/>
  <c r="H34" i="14" s="1"/>
  <c r="G58" i="14"/>
  <c r="F41" i="14"/>
  <c r="G41" i="14" s="1"/>
  <c r="H41" i="14" s="1"/>
  <c r="G65" i="14"/>
  <c r="G72" i="14"/>
  <c r="F48" i="14"/>
  <c r="G48" i="14" s="1"/>
  <c r="H48" i="14" s="1"/>
  <c r="G70" i="14"/>
  <c r="F46" i="14"/>
  <c r="G46" i="14" s="1"/>
  <c r="H46" i="14" s="1"/>
  <c r="F50" i="13"/>
  <c r="G50" i="13" s="1"/>
  <c r="H50" i="13" s="1"/>
  <c r="M50" i="13" s="1"/>
  <c r="G71" i="13"/>
  <c r="F47" i="13"/>
  <c r="G47" i="13" s="1"/>
  <c r="H47" i="13" s="1"/>
  <c r="M47" i="13" s="1"/>
  <c r="G73" i="13"/>
  <c r="F49" i="13"/>
  <c r="G49" i="13" s="1"/>
  <c r="H49" i="13" s="1"/>
  <c r="M49" i="13" s="1"/>
  <c r="G67" i="13"/>
  <c r="F43" i="13"/>
  <c r="A38" i="13"/>
  <c r="G70" i="13"/>
  <c r="F46" i="13"/>
  <c r="G46" i="13" s="1"/>
  <c r="H46" i="13" s="1"/>
  <c r="M46" i="13" s="1"/>
  <c r="G68" i="13"/>
  <c r="F44" i="13"/>
  <c r="G44" i="13" s="1"/>
  <c r="H44" i="13" s="1"/>
  <c r="M44" i="13" s="1"/>
  <c r="G73" i="3"/>
  <c r="E49" i="12"/>
  <c r="G64" i="3"/>
  <c r="E40" i="12"/>
  <c r="G58" i="3"/>
  <c r="E34" i="12"/>
  <c r="G63" i="3"/>
  <c r="E39" i="12"/>
  <c r="G71" i="3"/>
  <c r="E47" i="12"/>
  <c r="G59" i="3"/>
  <c r="E35" i="12"/>
  <c r="G33" i="3"/>
  <c r="F33" i="12"/>
  <c r="G65" i="3"/>
  <c r="E41" i="12"/>
  <c r="G61" i="3"/>
  <c r="E37" i="12"/>
  <c r="G66" i="3"/>
  <c r="E42" i="12"/>
  <c r="G62" i="3"/>
  <c r="E38" i="12"/>
  <c r="G68" i="3"/>
  <c r="E44" i="12"/>
  <c r="G67" i="3"/>
  <c r="E43" i="12"/>
  <c r="G60" i="3"/>
  <c r="E36" i="12"/>
  <c r="G32" i="3"/>
  <c r="F32" i="12"/>
  <c r="G69" i="3"/>
  <c r="E45" i="12"/>
  <c r="G72" i="3"/>
  <c r="E48" i="12"/>
  <c r="G70" i="3"/>
  <c r="E46" i="12"/>
  <c r="F42" i="7"/>
  <c r="G42" i="7" s="1"/>
  <c r="H42" i="7" s="1"/>
  <c r="F34" i="3"/>
  <c r="F35" i="3"/>
  <c r="F43" i="3"/>
  <c r="F45" i="7"/>
  <c r="G45" i="7" s="1"/>
  <c r="H45" i="7" s="1"/>
  <c r="G69" i="7"/>
  <c r="F40" i="7"/>
  <c r="G40" i="7" s="1"/>
  <c r="H40" i="7" s="1"/>
  <c r="G64" i="7"/>
  <c r="F43" i="7"/>
  <c r="G43" i="7" s="1"/>
  <c r="H43" i="7" s="1"/>
  <c r="F47" i="7"/>
  <c r="G47" i="7" s="1"/>
  <c r="H47" i="7" s="1"/>
  <c r="F44" i="7"/>
  <c r="G44" i="7" s="1"/>
  <c r="H44" i="7" s="1"/>
  <c r="F34" i="7"/>
  <c r="A37" i="7"/>
  <c r="F38" i="7"/>
  <c r="G38" i="7" s="1"/>
  <c r="H38" i="7" s="1"/>
  <c r="F49" i="7"/>
  <c r="G49" i="7" s="1"/>
  <c r="H49" i="7" s="1"/>
  <c r="F46" i="7"/>
  <c r="G46" i="7" s="1"/>
  <c r="H46" i="7" s="1"/>
  <c r="F37" i="7"/>
  <c r="G37" i="7" s="1"/>
  <c r="H37" i="7" s="1"/>
  <c r="F48" i="7"/>
  <c r="G48" i="7" s="1"/>
  <c r="H48" i="7" s="1"/>
  <c r="H31" i="3"/>
  <c r="H31" i="12" s="1"/>
  <c r="F42" i="3"/>
  <c r="F44" i="3"/>
  <c r="F39" i="3"/>
  <c r="F45" i="3"/>
  <c r="F38" i="3"/>
  <c r="F37" i="3"/>
  <c r="F47" i="3"/>
  <c r="F49" i="3"/>
  <c r="F50" i="3"/>
  <c r="F41" i="3"/>
  <c r="F48" i="3"/>
  <c r="F46" i="3"/>
  <c r="I46" i="3" a="1"/>
  <c r="I46" i="3" s="1"/>
  <c r="F40" i="3"/>
  <c r="I47" i="3" a="1"/>
  <c r="I47" i="3" s="1"/>
  <c r="I33" i="3" a="1"/>
  <c r="I33" i="3" s="1"/>
  <c r="I38" i="3" a="1"/>
  <c r="I38" i="3" s="1"/>
  <c r="I48" i="3" a="1"/>
  <c r="I48" i="3" s="1"/>
  <c r="I32" i="3" a="1"/>
  <c r="I32" i="3" s="1"/>
  <c r="I40" i="3" a="1"/>
  <c r="I40" i="3" s="1"/>
  <c r="I39" i="3" a="1"/>
  <c r="I39" i="3" s="1"/>
  <c r="I45" i="3" a="1"/>
  <c r="I45" i="3" s="1"/>
  <c r="I37" i="3" a="1"/>
  <c r="I37" i="3" s="1"/>
  <c r="I44" i="3" a="1"/>
  <c r="I44" i="3" s="1"/>
  <c r="I36" i="3" a="1"/>
  <c r="I36" i="3" s="1"/>
  <c r="I41" i="3" a="1"/>
  <c r="I41" i="3" s="1"/>
  <c r="I50" i="3" a="1"/>
  <c r="I50" i="3" s="1"/>
  <c r="I34" i="3" a="1"/>
  <c r="I34" i="3" s="1"/>
  <c r="I42" i="3" a="1"/>
  <c r="I42" i="3" s="1"/>
  <c r="I49" i="3" a="1"/>
  <c r="I49" i="3" s="1"/>
  <c r="I43" i="3" a="1"/>
  <c r="I43" i="3" s="1"/>
  <c r="I35" i="3" a="1"/>
  <c r="I35" i="3" s="1"/>
  <c r="F36" i="3"/>
  <c r="I31" i="3" a="1"/>
  <c r="I31" i="3" s="1"/>
  <c r="J31" i="12" s="1"/>
  <c r="G51" i="14" l="1"/>
  <c r="H51" i="14" s="1"/>
  <c r="A37" i="14"/>
  <c r="F51" i="14"/>
  <c r="A39" i="13"/>
  <c r="G43" i="13"/>
  <c r="F51" i="13"/>
  <c r="H60" i="3" a="1"/>
  <c r="H60" i="3" s="1"/>
  <c r="I60" i="3" s="1"/>
  <c r="J60" i="3" s="1"/>
  <c r="K60" i="3" s="1"/>
  <c r="H72" i="3" a="1"/>
  <c r="H72" i="3" s="1"/>
  <c r="I72" i="3" s="1"/>
  <c r="J72" i="3" s="1"/>
  <c r="K72" i="3" s="1"/>
  <c r="H62" i="3" a="1"/>
  <c r="H62" i="3" s="1"/>
  <c r="I62" i="3" s="1"/>
  <c r="J62" i="3" s="1"/>
  <c r="K62" i="3" s="1"/>
  <c r="H70" i="3" a="1"/>
  <c r="H70" i="3" s="1"/>
  <c r="I70" i="3" s="1"/>
  <c r="J70" i="3" s="1"/>
  <c r="K70" i="3" s="1"/>
  <c r="H71" i="3" a="1"/>
  <c r="H71" i="3" s="1"/>
  <c r="I71" i="3" s="1"/>
  <c r="J71" i="3" s="1"/>
  <c r="K71" i="3" s="1"/>
  <c r="H64" i="3" a="1"/>
  <c r="H64" i="3" s="1"/>
  <c r="I64" i="3" s="1"/>
  <c r="J64" i="3" s="1"/>
  <c r="K64" i="3" s="1"/>
  <c r="H55" i="3" a="1"/>
  <c r="H55" i="3" s="1"/>
  <c r="I55" i="3" s="1"/>
  <c r="J55" i="3" s="1"/>
  <c r="K55" i="3" s="1"/>
  <c r="H63" i="3" a="1"/>
  <c r="H63" i="3" s="1"/>
  <c r="I63" i="3" s="1"/>
  <c r="J63" i="3" s="1"/>
  <c r="K63" i="3" s="1"/>
  <c r="H54" i="3" a="1"/>
  <c r="H54" i="3" s="1"/>
  <c r="I54" i="3" s="1"/>
  <c r="H56" i="3" a="1"/>
  <c r="H56" i="3" s="1"/>
  <c r="I56" i="3" s="1"/>
  <c r="J56" i="3" s="1"/>
  <c r="K56" i="3" s="1"/>
  <c r="H57" i="3" a="1"/>
  <c r="H57" i="3" s="1"/>
  <c r="I57" i="3" s="1"/>
  <c r="J57" i="3" s="1"/>
  <c r="K57" i="3" s="1"/>
  <c r="H65" i="3" a="1"/>
  <c r="H65" i="3" s="1"/>
  <c r="I65" i="3" s="1"/>
  <c r="J65" i="3" s="1"/>
  <c r="K65" i="3" s="1"/>
  <c r="H73" i="3" a="1"/>
  <c r="H73" i="3" s="1"/>
  <c r="I73" i="3" s="1"/>
  <c r="J73" i="3" s="1"/>
  <c r="K73" i="3" s="1"/>
  <c r="H58" i="3" a="1"/>
  <c r="H58" i="3" s="1"/>
  <c r="I58" i="3" s="1"/>
  <c r="J58" i="3" s="1"/>
  <c r="K58" i="3" s="1"/>
  <c r="H66" i="3" a="1"/>
  <c r="H66" i="3" s="1"/>
  <c r="I66" i="3" s="1"/>
  <c r="J66" i="3" s="1"/>
  <c r="K66" i="3" s="1"/>
  <c r="H59" i="3" a="1"/>
  <c r="H59" i="3" s="1"/>
  <c r="I59" i="3" s="1"/>
  <c r="J59" i="3" s="1"/>
  <c r="K59" i="3" s="1"/>
  <c r="H67" i="3" a="1"/>
  <c r="H67" i="3" s="1"/>
  <c r="I67" i="3" s="1"/>
  <c r="J67" i="3" s="1"/>
  <c r="K67" i="3" s="1"/>
  <c r="H68" i="3" a="1"/>
  <c r="H68" i="3" s="1"/>
  <c r="I68" i="3" s="1"/>
  <c r="J68" i="3" s="1"/>
  <c r="K68" i="3" s="1"/>
  <c r="H61" i="3" a="1"/>
  <c r="H61" i="3" s="1"/>
  <c r="I61" i="3" s="1"/>
  <c r="J61" i="3" s="1"/>
  <c r="K61" i="3" s="1"/>
  <c r="H69" i="3" a="1"/>
  <c r="H69" i="3" s="1"/>
  <c r="I69" i="3" s="1"/>
  <c r="J69" i="3" s="1"/>
  <c r="K69" i="3" s="1"/>
  <c r="M62" i="3"/>
  <c r="G38" i="3"/>
  <c r="F38" i="12"/>
  <c r="H32" i="3"/>
  <c r="H32" i="12" s="1"/>
  <c r="G32" i="12"/>
  <c r="H33" i="3"/>
  <c r="H33" i="12" s="1"/>
  <c r="G33" i="12"/>
  <c r="M61" i="3"/>
  <c r="G42" i="3"/>
  <c r="F42" i="12"/>
  <c r="M58" i="3"/>
  <c r="M56" i="3"/>
  <c r="J33" i="12"/>
  <c r="M55" i="3"/>
  <c r="J32" i="12"/>
  <c r="G44" i="3"/>
  <c r="F44" i="12"/>
  <c r="G36" i="3"/>
  <c r="F36" i="12"/>
  <c r="M70" i="3"/>
  <c r="M66" i="3"/>
  <c r="M72" i="3"/>
  <c r="G40" i="3"/>
  <c r="F40" i="12"/>
  <c r="M69" i="3"/>
  <c r="G43" i="3"/>
  <c r="F43" i="12"/>
  <c r="M57" i="3"/>
  <c r="J34" i="12"/>
  <c r="G46" i="3"/>
  <c r="F46" i="12"/>
  <c r="G35" i="3"/>
  <c r="F35" i="12"/>
  <c r="G34" i="3"/>
  <c r="F34" i="12"/>
  <c r="M65" i="3"/>
  <c r="G48" i="3"/>
  <c r="F48" i="12"/>
  <c r="M64" i="3"/>
  <c r="G41" i="3"/>
  <c r="F41" i="12"/>
  <c r="C73" i="3"/>
  <c r="E73" i="3" s="1"/>
  <c r="G50" i="3"/>
  <c r="F50" i="12"/>
  <c r="M63" i="3"/>
  <c r="G45" i="3"/>
  <c r="F45" i="12"/>
  <c r="G39" i="3"/>
  <c r="F39" i="12"/>
  <c r="M67" i="3"/>
  <c r="G49" i="3"/>
  <c r="F49" i="12"/>
  <c r="M59" i="3"/>
  <c r="M60" i="3"/>
  <c r="G47" i="3"/>
  <c r="F47" i="12"/>
  <c r="M71" i="3"/>
  <c r="M68" i="3"/>
  <c r="G37" i="3"/>
  <c r="F37" i="12"/>
  <c r="M54" i="3"/>
  <c r="M73" i="3"/>
  <c r="J40" i="3"/>
  <c r="C63" i="3"/>
  <c r="E63" i="3" s="1"/>
  <c r="J32" i="3"/>
  <c r="C55" i="3"/>
  <c r="E55" i="3" s="1"/>
  <c r="J48" i="3"/>
  <c r="C71" i="3"/>
  <c r="E71" i="3" s="1"/>
  <c r="J38" i="3"/>
  <c r="C61" i="3"/>
  <c r="E61" i="3" s="1"/>
  <c r="J33" i="3"/>
  <c r="C56" i="3"/>
  <c r="E56" i="3" s="1"/>
  <c r="J47" i="3"/>
  <c r="C70" i="3"/>
  <c r="E70" i="3" s="1"/>
  <c r="J49" i="3"/>
  <c r="C72" i="3"/>
  <c r="E72" i="3" s="1"/>
  <c r="J46" i="3"/>
  <c r="C69" i="3"/>
  <c r="E69" i="3" s="1"/>
  <c r="J35" i="3"/>
  <c r="C58" i="3"/>
  <c r="E58" i="3" s="1"/>
  <c r="J34" i="3"/>
  <c r="C57" i="3"/>
  <c r="E57" i="3" s="1"/>
  <c r="J41" i="3"/>
  <c r="C64" i="3"/>
  <c r="E64" i="3" s="1"/>
  <c r="J31" i="3"/>
  <c r="J36" i="3"/>
  <c r="C59" i="3"/>
  <c r="E59" i="3" s="1"/>
  <c r="J39" i="3"/>
  <c r="C62" i="3"/>
  <c r="E62" i="3" s="1"/>
  <c r="J44" i="3"/>
  <c r="C67" i="3"/>
  <c r="E67" i="3" s="1"/>
  <c r="J43" i="3"/>
  <c r="C66" i="3"/>
  <c r="E66" i="3" s="1"/>
  <c r="J37" i="3"/>
  <c r="C60" i="3"/>
  <c r="E60" i="3" s="1"/>
  <c r="J42" i="3"/>
  <c r="C65" i="3"/>
  <c r="E65" i="3" s="1"/>
  <c r="J45" i="3"/>
  <c r="C68" i="3"/>
  <c r="E68" i="3" s="1"/>
  <c r="J50" i="3"/>
  <c r="A38" i="7"/>
  <c r="G34" i="7"/>
  <c r="F51" i="7"/>
  <c r="F51" i="3"/>
  <c r="A38" i="14" l="1"/>
  <c r="A40" i="13"/>
  <c r="H43" i="13"/>
  <c r="M43" i="13" s="1"/>
  <c r="G51" i="13"/>
  <c r="H51" i="13" s="1"/>
  <c r="N72" i="3"/>
  <c r="O72" i="3" s="1"/>
  <c r="N71" i="3"/>
  <c r="O71" i="3" s="1"/>
  <c r="N70" i="3"/>
  <c r="O70" i="3" s="1"/>
  <c r="N60" i="3"/>
  <c r="O60" i="3" s="1"/>
  <c r="F51" i="12"/>
  <c r="N64" i="3"/>
  <c r="O64" i="3" s="1"/>
  <c r="N63" i="3"/>
  <c r="O63" i="3" s="1"/>
  <c r="N56" i="3"/>
  <c r="O56" i="3" s="1"/>
  <c r="N62" i="3"/>
  <c r="O62" i="3" s="1"/>
  <c r="N58" i="3"/>
  <c r="O58" i="3" s="1"/>
  <c r="N65" i="3"/>
  <c r="O65" i="3" s="1"/>
  <c r="N55" i="3"/>
  <c r="O55" i="3" s="1"/>
  <c r="N73" i="3"/>
  <c r="O73" i="3" s="1"/>
  <c r="N69" i="3"/>
  <c r="O69" i="3" s="1"/>
  <c r="N57" i="3"/>
  <c r="O57" i="3" s="1"/>
  <c r="G51" i="3"/>
  <c r="H51" i="3" s="1"/>
  <c r="H76" i="3" a="1"/>
  <c r="H76" i="3" s="1"/>
  <c r="N61" i="3"/>
  <c r="O61" i="3" s="1"/>
  <c r="N59" i="3"/>
  <c r="O59" i="3" s="1"/>
  <c r="N66" i="3"/>
  <c r="O66" i="3" s="1"/>
  <c r="N67" i="3"/>
  <c r="O67" i="3" s="1"/>
  <c r="N68" i="3"/>
  <c r="O68" i="3" s="1"/>
  <c r="H40" i="3"/>
  <c r="H40" i="12" s="1"/>
  <c r="G40" i="12"/>
  <c r="K36" i="3"/>
  <c r="K36" i="12" s="1"/>
  <c r="K50" i="3"/>
  <c r="K50" i="12" s="1"/>
  <c r="H39" i="3"/>
  <c r="H39" i="12" s="1"/>
  <c r="G39" i="12"/>
  <c r="H42" i="3"/>
  <c r="H42" i="12" s="1"/>
  <c r="G42" i="12"/>
  <c r="K31" i="3"/>
  <c r="K31" i="12" s="1"/>
  <c r="K33" i="3"/>
  <c r="K33" i="12" s="1"/>
  <c r="H45" i="3"/>
  <c r="H45" i="12" s="1"/>
  <c r="G45" i="12"/>
  <c r="H34" i="3"/>
  <c r="H34" i="12" s="1"/>
  <c r="G34" i="12"/>
  <c r="K47" i="3"/>
  <c r="K47" i="12" s="1"/>
  <c r="K39" i="3"/>
  <c r="K39" i="12" s="1"/>
  <c r="H49" i="3"/>
  <c r="H49" i="12" s="1"/>
  <c r="G49" i="12"/>
  <c r="K41" i="3"/>
  <c r="K41" i="12" s="1"/>
  <c r="H35" i="3"/>
  <c r="H35" i="12" s="1"/>
  <c r="G35" i="12"/>
  <c r="K35" i="3"/>
  <c r="K35" i="12" s="1"/>
  <c r="K40" i="3"/>
  <c r="K40" i="12" s="1"/>
  <c r="K32" i="3"/>
  <c r="K32" i="12" s="1"/>
  <c r="K42" i="3"/>
  <c r="K42" i="12" s="1"/>
  <c r="H47" i="3"/>
  <c r="H47" i="12" s="1"/>
  <c r="G47" i="12"/>
  <c r="H50" i="3"/>
  <c r="H50" i="12" s="1"/>
  <c r="G50" i="12"/>
  <c r="H46" i="3"/>
  <c r="H46" i="12" s="1"/>
  <c r="G46" i="12"/>
  <c r="H36" i="3"/>
  <c r="H36" i="12" s="1"/>
  <c r="G36" i="12"/>
  <c r="H48" i="3"/>
  <c r="H48" i="12" s="1"/>
  <c r="G48" i="12"/>
  <c r="H37" i="3"/>
  <c r="H37" i="12" s="1"/>
  <c r="G37" i="12"/>
  <c r="K34" i="3"/>
  <c r="K34" i="12" s="1"/>
  <c r="H44" i="3"/>
  <c r="H44" i="12" s="1"/>
  <c r="G44" i="12"/>
  <c r="H38" i="3"/>
  <c r="H38" i="12" s="1"/>
  <c r="G38" i="12"/>
  <c r="K46" i="3"/>
  <c r="K46" i="12" s="1"/>
  <c r="K49" i="3"/>
  <c r="K49" i="12" s="1"/>
  <c r="K38" i="3"/>
  <c r="K38" i="12" s="1"/>
  <c r="K48" i="3"/>
  <c r="K48" i="12" s="1"/>
  <c r="K45" i="3"/>
  <c r="K45" i="12" s="1"/>
  <c r="K37" i="3"/>
  <c r="K37" i="12" s="1"/>
  <c r="K43" i="3"/>
  <c r="K43" i="12" s="1"/>
  <c r="K44" i="3"/>
  <c r="K44" i="12" s="1"/>
  <c r="H41" i="3"/>
  <c r="H41" i="12" s="1"/>
  <c r="G41" i="12"/>
  <c r="H43" i="3"/>
  <c r="H43" i="12" s="1"/>
  <c r="G43" i="12"/>
  <c r="N54" i="3"/>
  <c r="O54" i="3" s="1"/>
  <c r="M74" i="3"/>
  <c r="J54" i="3"/>
  <c r="I74" i="3"/>
  <c r="E74" i="3"/>
  <c r="C74" i="3"/>
  <c r="J51" i="3"/>
  <c r="H34" i="7"/>
  <c r="G51" i="7"/>
  <c r="H51" i="7" s="1"/>
  <c r="A39" i="7"/>
  <c r="A39" i="14" l="1"/>
  <c r="I33" i="13" a="1"/>
  <c r="I33" i="13" s="1"/>
  <c r="I32" i="13" a="1"/>
  <c r="I32" i="13" s="1"/>
  <c r="I34" i="13" a="1"/>
  <c r="I34" i="13" s="1"/>
  <c r="I35" i="13" a="1"/>
  <c r="I35" i="13" s="1"/>
  <c r="I49" i="13" a="1"/>
  <c r="I49" i="13" s="1"/>
  <c r="I47" i="13" a="1"/>
  <c r="I47" i="13" s="1"/>
  <c r="I45" i="13" a="1"/>
  <c r="I45" i="13" s="1"/>
  <c r="I48" i="13" a="1"/>
  <c r="I48" i="13" s="1"/>
  <c r="I39" i="13" a="1"/>
  <c r="I39" i="13" s="1"/>
  <c r="I40" i="13" a="1"/>
  <c r="I40" i="13" s="1"/>
  <c r="I46" i="13" a="1"/>
  <c r="I46" i="13" s="1"/>
  <c r="I38" i="13" a="1"/>
  <c r="I38" i="13" s="1"/>
  <c r="I37" i="13" a="1"/>
  <c r="I37" i="13" s="1"/>
  <c r="I44" i="13" a="1"/>
  <c r="I44" i="13" s="1"/>
  <c r="I42" i="13" a="1"/>
  <c r="I42" i="13" s="1"/>
  <c r="I36" i="13" a="1"/>
  <c r="I36" i="13" s="1"/>
  <c r="I43" i="13" a="1"/>
  <c r="I43" i="13" s="1"/>
  <c r="I31" i="13" a="1"/>
  <c r="I31" i="13" s="1"/>
  <c r="I41" i="13" a="1"/>
  <c r="I41" i="13" s="1"/>
  <c r="I50" i="13" a="1"/>
  <c r="I50" i="13" s="1"/>
  <c r="A41" i="13"/>
  <c r="K51" i="12"/>
  <c r="L51" i="12" s="1"/>
  <c r="G51" i="12"/>
  <c r="H51" i="12" s="1"/>
  <c r="I49" i="12"/>
  <c r="J49" i="12" s="1"/>
  <c r="I41" i="12"/>
  <c r="J41" i="12" s="1"/>
  <c r="I43" i="12"/>
  <c r="J43" i="12" s="1"/>
  <c r="I39" i="12"/>
  <c r="J39" i="12" s="1"/>
  <c r="I47" i="12"/>
  <c r="J47" i="12" s="1"/>
  <c r="I50" i="12"/>
  <c r="J50" i="12" s="1"/>
  <c r="I42" i="12"/>
  <c r="J42" i="12" s="1"/>
  <c r="I40" i="12"/>
  <c r="J40" i="12" s="1"/>
  <c r="I45" i="12"/>
  <c r="J45" i="12" s="1"/>
  <c r="I48" i="12"/>
  <c r="J48" i="12" s="1"/>
  <c r="I35" i="12"/>
  <c r="J35" i="12" s="1"/>
  <c r="I38" i="12"/>
  <c r="J38" i="12" s="1"/>
  <c r="I44" i="12"/>
  <c r="J44" i="12" s="1"/>
  <c r="I36" i="12"/>
  <c r="J36" i="12" s="1"/>
  <c r="I46" i="12"/>
  <c r="J46" i="12" s="1"/>
  <c r="I37" i="12"/>
  <c r="J37" i="12" s="1"/>
  <c r="L32" i="3"/>
  <c r="L32" i="12" s="1"/>
  <c r="L36" i="3"/>
  <c r="L36" i="12" s="1"/>
  <c r="L59" i="3"/>
  <c r="L70" i="3"/>
  <c r="L47" i="3"/>
  <c r="L47" i="12" s="1"/>
  <c r="L60" i="3"/>
  <c r="L34" i="3"/>
  <c r="L34" i="12" s="1"/>
  <c r="L65" i="3"/>
  <c r="L37" i="3"/>
  <c r="L37" i="12" s="1"/>
  <c r="L42" i="3"/>
  <c r="L42" i="12" s="1"/>
  <c r="L55" i="3"/>
  <c r="L67" i="3"/>
  <c r="L66" i="3"/>
  <c r="L73" i="3"/>
  <c r="L62" i="3"/>
  <c r="L43" i="3"/>
  <c r="L43" i="12" s="1"/>
  <c r="L68" i="3"/>
  <c r="L63" i="3"/>
  <c r="L50" i="3"/>
  <c r="L50" i="12" s="1"/>
  <c r="L39" i="3"/>
  <c r="L39" i="12" s="1"/>
  <c r="L69" i="3"/>
  <c r="L45" i="3"/>
  <c r="L45" i="12" s="1"/>
  <c r="L40" i="3"/>
  <c r="L40" i="12" s="1"/>
  <c r="L57" i="3"/>
  <c r="L46" i="3"/>
  <c r="L46" i="12" s="1"/>
  <c r="L49" i="3"/>
  <c r="L49" i="12" s="1"/>
  <c r="L48" i="3"/>
  <c r="L48" i="12" s="1"/>
  <c r="L58" i="3"/>
  <c r="L64" i="3"/>
  <c r="L71" i="3"/>
  <c r="L35" i="3"/>
  <c r="L35" i="12" s="1"/>
  <c r="L41" i="3"/>
  <c r="L41" i="12" s="1"/>
  <c r="L72" i="3"/>
  <c r="L44" i="3"/>
  <c r="L44" i="12" s="1"/>
  <c r="K51" i="3"/>
  <c r="L56" i="3"/>
  <c r="L61" i="3"/>
  <c r="L31" i="3"/>
  <c r="L31" i="12" s="1"/>
  <c r="L33" i="3"/>
  <c r="L33" i="12" s="1"/>
  <c r="L38" i="3"/>
  <c r="L38" i="12" s="1"/>
  <c r="N74" i="3"/>
  <c r="O74" i="3"/>
  <c r="K54" i="3"/>
  <c r="J74" i="3"/>
  <c r="K74" i="3" s="1"/>
  <c r="L54" i="3"/>
  <c r="A40" i="7"/>
  <c r="A40" i="14" l="1"/>
  <c r="A42" i="13"/>
  <c r="J51" i="12"/>
  <c r="L51" i="3"/>
  <c r="L74" i="3"/>
  <c r="A41" i="7"/>
  <c r="A41" i="14" l="1"/>
  <c r="A43" i="13"/>
  <c r="A42" i="7"/>
  <c r="A42" i="14" l="1"/>
  <c r="A44" i="13"/>
  <c r="A43" i="7"/>
  <c r="A43" i="14" l="1"/>
  <c r="A45" i="13"/>
  <c r="A44" i="7"/>
  <c r="A44" i="14" l="1"/>
  <c r="A46" i="13"/>
  <c r="A45" i="7"/>
  <c r="A45" i="14" l="1"/>
  <c r="A47" i="13"/>
  <c r="A46" i="7"/>
  <c r="A46" i="14" l="1"/>
  <c r="A48" i="13"/>
  <c r="A47" i="7"/>
  <c r="A47" i="14" l="1"/>
  <c r="A49" i="13"/>
  <c r="A48" i="7"/>
  <c r="A48" i="14" l="1"/>
  <c r="A50" i="13"/>
  <c r="H72" i="13" a="1"/>
  <c r="H72" i="13" s="1"/>
  <c r="I72" i="13" s="1"/>
  <c r="H70" i="13" a="1"/>
  <c r="H70" i="13" s="1"/>
  <c r="I70" i="13" s="1"/>
  <c r="H68" i="13" a="1"/>
  <c r="H68" i="13" s="1"/>
  <c r="I68" i="13" s="1"/>
  <c r="A49" i="7"/>
  <c r="A49" i="14" l="1"/>
  <c r="C64" i="13"/>
  <c r="E64" i="13" s="1"/>
  <c r="J41" i="13"/>
  <c r="K41" i="13" s="1"/>
  <c r="M64" i="13"/>
  <c r="C68" i="13"/>
  <c r="E68" i="13" s="1"/>
  <c r="J45" i="13"/>
  <c r="K45" i="13" s="1"/>
  <c r="M68" i="13"/>
  <c r="N68" i="13" s="1"/>
  <c r="O68" i="13" s="1"/>
  <c r="J68" i="13"/>
  <c r="K68" i="13" s="1"/>
  <c r="J70" i="13"/>
  <c r="K70" i="13" s="1"/>
  <c r="J72" i="13"/>
  <c r="K72" i="13" s="1"/>
  <c r="C72" i="13"/>
  <c r="E72" i="13" s="1"/>
  <c r="J49" i="13"/>
  <c r="K49" i="13" s="1"/>
  <c r="M72" i="13"/>
  <c r="N72" i="13" s="1"/>
  <c r="H73" i="13" a="1"/>
  <c r="H73" i="13" s="1"/>
  <c r="I73" i="13" s="1"/>
  <c r="H60" i="13" a="1"/>
  <c r="H60" i="13" s="1"/>
  <c r="I60" i="13" s="1"/>
  <c r="H57" i="13" a="1"/>
  <c r="H57" i="13" s="1"/>
  <c r="I57" i="13" s="1"/>
  <c r="H56" i="13" a="1"/>
  <c r="H56" i="13" s="1"/>
  <c r="I56" i="13" s="1"/>
  <c r="H58" i="13" a="1"/>
  <c r="H58" i="13" s="1"/>
  <c r="I58" i="13" s="1"/>
  <c r="H59" i="13" a="1"/>
  <c r="H59" i="13" s="1"/>
  <c r="I59" i="13" s="1"/>
  <c r="H55" i="13" a="1"/>
  <c r="H55" i="13" s="1"/>
  <c r="I55" i="13" s="1"/>
  <c r="H54" i="13" a="1"/>
  <c r="H54" i="13" s="1"/>
  <c r="I54" i="13" s="1"/>
  <c r="H61" i="13" a="1"/>
  <c r="H61" i="13" s="1"/>
  <c r="I61" i="13" s="1"/>
  <c r="H66" i="13" a="1"/>
  <c r="H66" i="13" s="1"/>
  <c r="I66" i="13" s="1"/>
  <c r="H62" i="13" a="1"/>
  <c r="H62" i="13" s="1"/>
  <c r="I62" i="13" s="1"/>
  <c r="H63" i="13" a="1"/>
  <c r="H63" i="13" s="1"/>
  <c r="I63" i="13" s="1"/>
  <c r="H64" i="13" a="1"/>
  <c r="H64" i="13" s="1"/>
  <c r="I64" i="13" s="1"/>
  <c r="H71" i="13" a="1"/>
  <c r="H71" i="13" s="1"/>
  <c r="I71" i="13" s="1"/>
  <c r="H69" i="13" a="1"/>
  <c r="H69" i="13" s="1"/>
  <c r="I69" i="13" s="1"/>
  <c r="H65" i="13" a="1"/>
  <c r="H65" i="13" s="1"/>
  <c r="I65" i="13" s="1"/>
  <c r="H67" i="13" a="1"/>
  <c r="H67" i="13" s="1"/>
  <c r="I67" i="13" s="1"/>
  <c r="A50" i="7"/>
  <c r="I49" i="7" a="1"/>
  <c r="I49" i="7" s="1"/>
  <c r="AR49" i="7" s="1"/>
  <c r="I47" i="7" a="1"/>
  <c r="I47" i="7" s="1"/>
  <c r="AR47" i="7" s="1"/>
  <c r="I41" i="7" a="1"/>
  <c r="I41" i="7" s="1"/>
  <c r="AR41" i="7" s="1"/>
  <c r="I43" i="7" a="1"/>
  <c r="I43" i="7" s="1"/>
  <c r="AR43" i="7" s="1"/>
  <c r="I42" i="7" a="1"/>
  <c r="I42" i="7" s="1"/>
  <c r="AR42" i="7" s="1"/>
  <c r="I48" i="7" a="1"/>
  <c r="I48" i="7" s="1"/>
  <c r="AR48" i="7" s="1"/>
  <c r="A50" i="14" l="1"/>
  <c r="H72" i="14" a="1"/>
  <c r="H72" i="14" s="1"/>
  <c r="I72" i="14" s="1"/>
  <c r="H70" i="14" a="1"/>
  <c r="H70" i="14" s="1"/>
  <c r="I70" i="14" s="1"/>
  <c r="H68" i="14" a="1"/>
  <c r="H68" i="14" s="1"/>
  <c r="I68" i="14" s="1"/>
  <c r="H66" i="14" a="1"/>
  <c r="H66" i="14" s="1"/>
  <c r="I66" i="14" s="1"/>
  <c r="O72" i="13"/>
  <c r="C67" i="13"/>
  <c r="E67" i="13" s="1"/>
  <c r="J44" i="13"/>
  <c r="K44" i="13" s="1"/>
  <c r="M67" i="13"/>
  <c r="N67" i="13" s="1"/>
  <c r="O67" i="13" s="1"/>
  <c r="J61" i="13"/>
  <c r="K61" i="13" s="1"/>
  <c r="C69" i="13"/>
  <c r="E69" i="13" s="1"/>
  <c r="J46" i="13"/>
  <c r="K46" i="13" s="1"/>
  <c r="M69" i="13"/>
  <c r="N69" i="13" s="1"/>
  <c r="J54" i="13"/>
  <c r="I74" i="13"/>
  <c r="J69" i="13"/>
  <c r="K69" i="13" s="1"/>
  <c r="J55" i="13"/>
  <c r="K55" i="13" s="1"/>
  <c r="J66" i="13"/>
  <c r="K66" i="13" s="1"/>
  <c r="C65" i="13"/>
  <c r="E65" i="13" s="1"/>
  <c r="M65" i="13"/>
  <c r="N65" i="13" s="1"/>
  <c r="J42" i="13"/>
  <c r="K42" i="13" s="1"/>
  <c r="H76" i="13" a="1"/>
  <c r="H76" i="13" s="1"/>
  <c r="M54" i="13"/>
  <c r="N54" i="13" s="1"/>
  <c r="J31" i="13"/>
  <c r="C59" i="13"/>
  <c r="E59" i="13" s="1"/>
  <c r="J36" i="13"/>
  <c r="K36" i="13" s="1"/>
  <c r="M59" i="13"/>
  <c r="N59" i="13" s="1"/>
  <c r="L49" i="13"/>
  <c r="L72" i="13"/>
  <c r="C71" i="13"/>
  <c r="E71" i="13" s="1"/>
  <c r="J48" i="13"/>
  <c r="K48" i="13" s="1"/>
  <c r="M71" i="13"/>
  <c r="N71" i="13" s="1"/>
  <c r="C58" i="13"/>
  <c r="E58" i="13" s="1"/>
  <c r="J35" i="13"/>
  <c r="K35" i="13" s="1"/>
  <c r="M58" i="13"/>
  <c r="N58" i="13" s="1"/>
  <c r="C73" i="13"/>
  <c r="E73" i="13" s="1"/>
  <c r="J50" i="13"/>
  <c r="K50" i="13" s="1"/>
  <c r="M73" i="13"/>
  <c r="N73" i="13" s="1"/>
  <c r="C70" i="13"/>
  <c r="E70" i="13" s="1"/>
  <c r="J47" i="13"/>
  <c r="K47" i="13" s="1"/>
  <c r="M70" i="13"/>
  <c r="N70" i="13" s="1"/>
  <c r="C55" i="13"/>
  <c r="M55" i="13"/>
  <c r="N55" i="13" s="1"/>
  <c r="J32" i="13"/>
  <c r="K32" i="13" s="1"/>
  <c r="J71" i="13"/>
  <c r="K71" i="13" s="1"/>
  <c r="C57" i="13"/>
  <c r="E57" i="13" s="1"/>
  <c r="J34" i="13"/>
  <c r="K34" i="13" s="1"/>
  <c r="M57" i="13"/>
  <c r="N57" i="13" s="1"/>
  <c r="N64" i="13"/>
  <c r="O64" i="13" s="1"/>
  <c r="J64" i="13"/>
  <c r="K64" i="13" s="1"/>
  <c r="J59" i="13"/>
  <c r="K59" i="13" s="1"/>
  <c r="J63" i="13"/>
  <c r="K63" i="13" s="1"/>
  <c r="J58" i="13"/>
  <c r="K58" i="13" s="1"/>
  <c r="C63" i="13"/>
  <c r="E63" i="13" s="1"/>
  <c r="M63" i="13"/>
  <c r="N63" i="13" s="1"/>
  <c r="J40" i="13"/>
  <c r="K40" i="13" s="1"/>
  <c r="J56" i="13"/>
  <c r="K56" i="13" s="1"/>
  <c r="L45" i="13"/>
  <c r="L68" i="13"/>
  <c r="C62" i="13"/>
  <c r="E62" i="13" s="1"/>
  <c r="J39" i="13"/>
  <c r="K39" i="13" s="1"/>
  <c r="M62" i="13"/>
  <c r="N62" i="13" s="1"/>
  <c r="C56" i="13"/>
  <c r="E56" i="13" s="1"/>
  <c r="J33" i="13"/>
  <c r="K33" i="13" s="1"/>
  <c r="M56" i="13"/>
  <c r="N56" i="13" s="1"/>
  <c r="C61" i="13"/>
  <c r="E61" i="13" s="1"/>
  <c r="J38" i="13"/>
  <c r="K38" i="13" s="1"/>
  <c r="M61" i="13"/>
  <c r="N61" i="13" s="1"/>
  <c r="J57" i="13"/>
  <c r="K57" i="13" s="1"/>
  <c r="J67" i="13"/>
  <c r="K67" i="13" s="1"/>
  <c r="J62" i="13"/>
  <c r="K62" i="13" s="1"/>
  <c r="J60" i="13"/>
  <c r="K60" i="13" s="1"/>
  <c r="L41" i="13"/>
  <c r="J65" i="13"/>
  <c r="K65" i="13" s="1"/>
  <c r="C66" i="13"/>
  <c r="E66" i="13" s="1"/>
  <c r="J43" i="13"/>
  <c r="K43" i="13" s="1"/>
  <c r="M66" i="13"/>
  <c r="N66" i="13" s="1"/>
  <c r="C60" i="13"/>
  <c r="E60" i="13" s="1"/>
  <c r="J37" i="13"/>
  <c r="K37" i="13" s="1"/>
  <c r="M60" i="13"/>
  <c r="N60" i="13" s="1"/>
  <c r="J73" i="13"/>
  <c r="K73" i="13" s="1"/>
  <c r="H73" i="7" a="1"/>
  <c r="H73" i="7" s="1"/>
  <c r="I73" i="7" s="1"/>
  <c r="J73" i="7" s="1"/>
  <c r="K73" i="7" s="1"/>
  <c r="H56" i="7" a="1"/>
  <c r="H56" i="7" s="1"/>
  <c r="I56" i="7" s="1"/>
  <c r="J56" i="7" s="1"/>
  <c r="K56" i="7" s="1"/>
  <c r="H61" i="7" a="1"/>
  <c r="H61" i="7" s="1"/>
  <c r="I61" i="7" s="1"/>
  <c r="J61" i="7" s="1"/>
  <c r="K61" i="7" s="1"/>
  <c r="H54" i="7" a="1"/>
  <c r="H54" i="7" s="1"/>
  <c r="I54" i="7" s="1"/>
  <c r="H60" i="7" a="1"/>
  <c r="H60" i="7" s="1"/>
  <c r="I60" i="7" s="1"/>
  <c r="J60" i="7" s="1"/>
  <c r="K60" i="7" s="1"/>
  <c r="H57" i="7" a="1"/>
  <c r="H57" i="7" s="1"/>
  <c r="I57" i="7" s="1"/>
  <c r="J57" i="7" s="1"/>
  <c r="K57" i="7" s="1"/>
  <c r="H59" i="7" a="1"/>
  <c r="H59" i="7" s="1"/>
  <c r="I59" i="7" s="1"/>
  <c r="J59" i="7" s="1"/>
  <c r="K59" i="7" s="1"/>
  <c r="H58" i="7" a="1"/>
  <c r="H58" i="7" s="1"/>
  <c r="I58" i="7" s="1"/>
  <c r="J58" i="7" s="1"/>
  <c r="K58" i="7" s="1"/>
  <c r="H62" i="7" a="1"/>
  <c r="H62" i="7" s="1"/>
  <c r="I62" i="7" s="1"/>
  <c r="J62" i="7" s="1"/>
  <c r="K62" i="7" s="1"/>
  <c r="H55" i="7" a="1"/>
  <c r="H55" i="7" s="1"/>
  <c r="I55" i="7" s="1"/>
  <c r="J55" i="7" s="1"/>
  <c r="K55" i="7" s="1"/>
  <c r="H64" i="7" a="1"/>
  <c r="H64" i="7" s="1"/>
  <c r="I64" i="7" s="1"/>
  <c r="J64" i="7" s="1"/>
  <c r="K64" i="7" s="1"/>
  <c r="H63" i="7" a="1"/>
  <c r="H63" i="7" s="1"/>
  <c r="I63" i="7" s="1"/>
  <c r="J63" i="7" s="1"/>
  <c r="K63" i="7" s="1"/>
  <c r="H65" i="7" a="1"/>
  <c r="H65" i="7" s="1"/>
  <c r="I65" i="7" s="1"/>
  <c r="J65" i="7" s="1"/>
  <c r="K65" i="7" s="1"/>
  <c r="H66" i="7" a="1"/>
  <c r="H66" i="7" s="1"/>
  <c r="I66" i="7" s="1"/>
  <c r="J66" i="7" s="1"/>
  <c r="K66" i="7" s="1"/>
  <c r="H68" i="7" a="1"/>
  <c r="H68" i="7" s="1"/>
  <c r="I68" i="7" s="1"/>
  <c r="J68" i="7" s="1"/>
  <c r="K68" i="7" s="1"/>
  <c r="H67" i="7" a="1"/>
  <c r="H67" i="7" s="1"/>
  <c r="I67" i="7" s="1"/>
  <c r="J67" i="7" s="1"/>
  <c r="K67" i="7" s="1"/>
  <c r="H71" i="7" a="1"/>
  <c r="H71" i="7" s="1"/>
  <c r="I71" i="7" s="1"/>
  <c r="J71" i="7" s="1"/>
  <c r="K71" i="7" s="1"/>
  <c r="H69" i="7" a="1"/>
  <c r="H69" i="7" s="1"/>
  <c r="I69" i="7" s="1"/>
  <c r="J69" i="7" s="1"/>
  <c r="K69" i="7" s="1"/>
  <c r="H70" i="7" a="1"/>
  <c r="H70" i="7" s="1"/>
  <c r="I70" i="7" s="1"/>
  <c r="J70" i="7" s="1"/>
  <c r="K70" i="7" s="1"/>
  <c r="H72" i="7" a="1"/>
  <c r="H72" i="7" s="1"/>
  <c r="I72" i="7" s="1"/>
  <c r="J72" i="7" s="1"/>
  <c r="K72" i="7" s="1"/>
  <c r="J48" i="7"/>
  <c r="K48" i="7" s="1"/>
  <c r="C71" i="7"/>
  <c r="E71" i="7" s="1"/>
  <c r="M71" i="7"/>
  <c r="J42" i="7"/>
  <c r="K42" i="7" s="1"/>
  <c r="C65" i="7"/>
  <c r="E65" i="7" s="1"/>
  <c r="M65" i="7"/>
  <c r="J43" i="7"/>
  <c r="K43" i="7" s="1"/>
  <c r="C66" i="7"/>
  <c r="E66" i="7" s="1"/>
  <c r="M66" i="7"/>
  <c r="J41" i="7"/>
  <c r="K41" i="7" s="1"/>
  <c r="C64" i="7"/>
  <c r="E64" i="7" s="1"/>
  <c r="M64" i="7"/>
  <c r="J47" i="7"/>
  <c r="K47" i="7" s="1"/>
  <c r="C70" i="7"/>
  <c r="E70" i="7" s="1"/>
  <c r="M70" i="7"/>
  <c r="J49" i="7"/>
  <c r="K49" i="7" s="1"/>
  <c r="C72" i="7"/>
  <c r="E72" i="7" s="1"/>
  <c r="M72" i="7"/>
  <c r="I50" i="7" a="1"/>
  <c r="I50" i="7" s="1"/>
  <c r="AR50" i="7" s="1"/>
  <c r="I32" i="7" a="1"/>
  <c r="I32" i="7" s="1"/>
  <c r="AR32" i="7" s="1"/>
  <c r="I33" i="7" a="1"/>
  <c r="I33" i="7" s="1"/>
  <c r="AR33" i="7" s="1"/>
  <c r="I34" i="7" a="1"/>
  <c r="I34" i="7" s="1"/>
  <c r="AR34" i="7" s="1"/>
  <c r="I31" i="7" a="1"/>
  <c r="I31" i="7" s="1"/>
  <c r="AR31" i="7" s="1"/>
  <c r="I35" i="7" a="1"/>
  <c r="I35" i="7" s="1"/>
  <c r="AR35" i="7" s="1"/>
  <c r="I36" i="7" a="1"/>
  <c r="I36" i="7" s="1"/>
  <c r="AR36" i="7" s="1"/>
  <c r="I37" i="7" a="1"/>
  <c r="I37" i="7" s="1"/>
  <c r="AR37" i="7" s="1"/>
  <c r="I38" i="7" a="1"/>
  <c r="I38" i="7" s="1"/>
  <c r="AR38" i="7" s="1"/>
  <c r="I39" i="7" a="1"/>
  <c r="I39" i="7" s="1"/>
  <c r="AR39" i="7" s="1"/>
  <c r="I45" i="7" a="1"/>
  <c r="I45" i="7" s="1"/>
  <c r="AR45" i="7" s="1"/>
  <c r="I46" i="7" a="1"/>
  <c r="I46" i="7" s="1"/>
  <c r="AR46" i="7" s="1"/>
  <c r="I44" i="7" a="1"/>
  <c r="I44" i="7" s="1"/>
  <c r="AR44" i="7" s="1"/>
  <c r="I40" i="7" a="1"/>
  <c r="I40" i="7" s="1"/>
  <c r="AR40" i="7" s="1"/>
  <c r="O73" i="13" l="1"/>
  <c r="O69" i="13"/>
  <c r="J66" i="14"/>
  <c r="K66" i="14" s="1"/>
  <c r="J68" i="14"/>
  <c r="K68" i="14" s="1"/>
  <c r="J70" i="14"/>
  <c r="K70" i="14" s="1"/>
  <c r="J72" i="14"/>
  <c r="K72" i="14" s="1"/>
  <c r="O59" i="13"/>
  <c r="H73" i="14" a="1"/>
  <c r="H73" i="14" s="1"/>
  <c r="I73" i="14" s="1"/>
  <c r="H58" i="14" a="1"/>
  <c r="H58" i="14" s="1"/>
  <c r="I58" i="14" s="1"/>
  <c r="H59" i="14" a="1"/>
  <c r="H59" i="14" s="1"/>
  <c r="I59" i="14" s="1"/>
  <c r="H57" i="14" a="1"/>
  <c r="H57" i="14" s="1"/>
  <c r="I57" i="14" s="1"/>
  <c r="H54" i="14" a="1"/>
  <c r="H54" i="14" s="1"/>
  <c r="I54" i="14" s="1"/>
  <c r="H55" i="14" a="1"/>
  <c r="H55" i="14" s="1"/>
  <c r="I55" i="14" s="1"/>
  <c r="H56" i="14" a="1"/>
  <c r="H56" i="14" s="1"/>
  <c r="I56" i="14" s="1"/>
  <c r="H60" i="14" a="1"/>
  <c r="H60" i="14" s="1"/>
  <c r="I60" i="14" s="1"/>
  <c r="H61" i="14" a="1"/>
  <c r="H61" i="14" s="1"/>
  <c r="I61" i="14" s="1"/>
  <c r="H62" i="14" a="1"/>
  <c r="H62" i="14" s="1"/>
  <c r="I62" i="14" s="1"/>
  <c r="H63" i="14" a="1"/>
  <c r="H63" i="14" s="1"/>
  <c r="I63" i="14" s="1"/>
  <c r="H64" i="14" a="1"/>
  <c r="H64" i="14" s="1"/>
  <c r="I64" i="14" s="1"/>
  <c r="H71" i="14" a="1"/>
  <c r="H71" i="14" s="1"/>
  <c r="I71" i="14" s="1"/>
  <c r="H69" i="14" a="1"/>
  <c r="H69" i="14" s="1"/>
  <c r="I69" i="14" s="1"/>
  <c r="H67" i="14" a="1"/>
  <c r="H67" i="14" s="1"/>
  <c r="I67" i="14" s="1"/>
  <c r="H65" i="14" a="1"/>
  <c r="H65" i="14" s="1"/>
  <c r="I65" i="14" s="1"/>
  <c r="O57" i="13"/>
  <c r="O71" i="13"/>
  <c r="O63" i="13"/>
  <c r="O61" i="13"/>
  <c r="O65" i="13"/>
  <c r="O60" i="13"/>
  <c r="O66" i="13"/>
  <c r="O56" i="13"/>
  <c r="L48" i="13"/>
  <c r="L71" i="13"/>
  <c r="O62" i="13"/>
  <c r="L40" i="13"/>
  <c r="L63" i="13"/>
  <c r="L55" i="13"/>
  <c r="L32" i="13"/>
  <c r="K54" i="13"/>
  <c r="J74" i="13"/>
  <c r="K74" i="13" s="1"/>
  <c r="L60" i="13"/>
  <c r="L37" i="13"/>
  <c r="C74" i="13"/>
  <c r="E55" i="13"/>
  <c r="E74" i="13" s="1"/>
  <c r="L59" i="13"/>
  <c r="L36" i="13"/>
  <c r="O54" i="13"/>
  <c r="N74" i="13"/>
  <c r="O70" i="13"/>
  <c r="L57" i="13"/>
  <c r="L34" i="13"/>
  <c r="L61" i="13"/>
  <c r="L38" i="13"/>
  <c r="O58" i="13"/>
  <c r="L70" i="13"/>
  <c r="L47" i="13"/>
  <c r="J51" i="13"/>
  <c r="K31" i="13"/>
  <c r="L46" i="13"/>
  <c r="L69" i="13"/>
  <c r="L66" i="13"/>
  <c r="L43" i="13"/>
  <c r="M74" i="13"/>
  <c r="L56" i="13"/>
  <c r="L33" i="13"/>
  <c r="L73" i="13"/>
  <c r="L50" i="13"/>
  <c r="L65" i="13"/>
  <c r="L42" i="13"/>
  <c r="L44" i="13"/>
  <c r="L67" i="13"/>
  <c r="L64" i="13"/>
  <c r="L62" i="13"/>
  <c r="L39" i="13"/>
  <c r="L58" i="13"/>
  <c r="L35" i="13"/>
  <c r="N70" i="7"/>
  <c r="O70" i="7" s="1"/>
  <c r="N65" i="7"/>
  <c r="O65" i="7" s="1"/>
  <c r="J54" i="7"/>
  <c r="I74" i="7"/>
  <c r="H76" i="7" a="1"/>
  <c r="H76" i="7" s="1"/>
  <c r="N64" i="7"/>
  <c r="O64" i="7" s="1"/>
  <c r="N66" i="7"/>
  <c r="O66" i="7" s="1"/>
  <c r="N72" i="7"/>
  <c r="O72" i="7" s="1"/>
  <c r="N71" i="7"/>
  <c r="O71" i="7" s="1"/>
  <c r="L49" i="7"/>
  <c r="L72" i="7"/>
  <c r="J45" i="7"/>
  <c r="K45" i="7" s="1"/>
  <c r="C68" i="7"/>
  <c r="E68" i="7" s="1"/>
  <c r="M68" i="7"/>
  <c r="J39" i="7"/>
  <c r="K39" i="7" s="1"/>
  <c r="C62" i="7"/>
  <c r="E62" i="7" s="1"/>
  <c r="M62" i="7"/>
  <c r="J46" i="7"/>
  <c r="K46" i="7" s="1"/>
  <c r="C69" i="7"/>
  <c r="E69" i="7" s="1"/>
  <c r="M69" i="7"/>
  <c r="N69" i="7" s="1"/>
  <c r="L47" i="7"/>
  <c r="L70" i="7"/>
  <c r="J44" i="7"/>
  <c r="K44" i="7" s="1"/>
  <c r="C67" i="7"/>
  <c r="E67" i="7" s="1"/>
  <c r="M67" i="7"/>
  <c r="N67" i="7" s="1"/>
  <c r="L41" i="7"/>
  <c r="L64" i="7"/>
  <c r="J38" i="7"/>
  <c r="K38" i="7" s="1"/>
  <c r="C61" i="7"/>
  <c r="E61" i="7" s="1"/>
  <c r="M61" i="7"/>
  <c r="N61" i="7" s="1"/>
  <c r="J36" i="7"/>
  <c r="K36" i="7" s="1"/>
  <c r="C59" i="7"/>
  <c r="E59" i="7" s="1"/>
  <c r="M59" i="7"/>
  <c r="J31" i="7"/>
  <c r="M54" i="7"/>
  <c r="N54" i="7" s="1"/>
  <c r="O54" i="7" s="1"/>
  <c r="L43" i="7"/>
  <c r="L66" i="7"/>
  <c r="J35" i="7"/>
  <c r="K35" i="7" s="1"/>
  <c r="C58" i="7"/>
  <c r="E58" i="7" s="1"/>
  <c r="M58" i="7"/>
  <c r="N58" i="7" s="1"/>
  <c r="J37" i="7"/>
  <c r="K37" i="7" s="1"/>
  <c r="C60" i="7"/>
  <c r="E60" i="7" s="1"/>
  <c r="M60" i="7"/>
  <c r="J40" i="7"/>
  <c r="K40" i="7" s="1"/>
  <c r="C63" i="7"/>
  <c r="E63" i="7" s="1"/>
  <c r="M63" i="7"/>
  <c r="J32" i="7"/>
  <c r="K32" i="7" s="1"/>
  <c r="C55" i="7"/>
  <c r="M55" i="7"/>
  <c r="N55" i="7" s="1"/>
  <c r="L42" i="7"/>
  <c r="L65" i="7"/>
  <c r="J34" i="7"/>
  <c r="K34" i="7" s="1"/>
  <c r="C57" i="7"/>
  <c r="E57" i="7" s="1"/>
  <c r="M57" i="7"/>
  <c r="N57" i="7" s="1"/>
  <c r="J33" i="7"/>
  <c r="K33" i="7" s="1"/>
  <c r="C56" i="7"/>
  <c r="E56" i="7" s="1"/>
  <c r="M56" i="7"/>
  <c r="N56" i="7" s="1"/>
  <c r="J50" i="7"/>
  <c r="K50" i="7" s="1"/>
  <c r="C73" i="7"/>
  <c r="E73" i="7" s="1"/>
  <c r="M73" i="7"/>
  <c r="L48" i="7"/>
  <c r="L71" i="7"/>
  <c r="J57" i="14" l="1"/>
  <c r="K57" i="14" s="1"/>
  <c r="J64" i="14"/>
  <c r="K64" i="14" s="1"/>
  <c r="J59" i="14"/>
  <c r="K59" i="14" s="1"/>
  <c r="J58" i="14"/>
  <c r="K58" i="14" s="1"/>
  <c r="J69" i="14"/>
  <c r="K69" i="14" s="1"/>
  <c r="J63" i="14"/>
  <c r="K63" i="14" s="1"/>
  <c r="J62" i="14"/>
  <c r="K62" i="14" s="1"/>
  <c r="J73" i="14"/>
  <c r="K73" i="14" s="1"/>
  <c r="J54" i="14"/>
  <c r="I74" i="14"/>
  <c r="J65" i="14"/>
  <c r="K65" i="14" s="1"/>
  <c r="J61" i="14"/>
  <c r="K61" i="14" s="1"/>
  <c r="J55" i="14"/>
  <c r="K55" i="14" s="1"/>
  <c r="J67" i="14"/>
  <c r="K67" i="14" s="1"/>
  <c r="J60" i="14"/>
  <c r="K60" i="14" s="1"/>
  <c r="J71" i="14"/>
  <c r="K71" i="14" s="1"/>
  <c r="J56" i="14"/>
  <c r="K56" i="14" s="1"/>
  <c r="L54" i="13"/>
  <c r="L74" i="13" s="1"/>
  <c r="K51" i="13"/>
  <c r="L51" i="13" s="1"/>
  <c r="L31" i="13"/>
  <c r="O55" i="13"/>
  <c r="O74" i="13" s="1"/>
  <c r="K54" i="7"/>
  <c r="J74" i="7"/>
  <c r="K74" i="7" s="1"/>
  <c r="O57" i="7"/>
  <c r="O69" i="7"/>
  <c r="O67" i="7"/>
  <c r="O56" i="7"/>
  <c r="O61" i="7"/>
  <c r="O58" i="7"/>
  <c r="N60" i="7"/>
  <c r="O60" i="7" s="1"/>
  <c r="N68" i="7"/>
  <c r="O68" i="7" s="1"/>
  <c r="N63" i="7"/>
  <c r="O63" i="7" s="1"/>
  <c r="N73" i="7"/>
  <c r="O73" i="7" s="1"/>
  <c r="N59" i="7"/>
  <c r="O59" i="7" s="1"/>
  <c r="N62" i="7"/>
  <c r="O62" i="7" s="1"/>
  <c r="J51" i="7"/>
  <c r="M74" i="7"/>
  <c r="L46" i="7"/>
  <c r="L69" i="7"/>
  <c r="L33" i="7"/>
  <c r="L56" i="7"/>
  <c r="L32" i="7"/>
  <c r="L55" i="7"/>
  <c r="L36" i="7"/>
  <c r="L59" i="7"/>
  <c r="L39" i="7"/>
  <c r="L62" i="7"/>
  <c r="L44" i="7"/>
  <c r="L67" i="7"/>
  <c r="C74" i="7"/>
  <c r="E55" i="7"/>
  <c r="E74" i="7" s="1"/>
  <c r="L40" i="7"/>
  <c r="L63" i="7"/>
  <c r="K31" i="7"/>
  <c r="L54" i="7" s="1"/>
  <c r="L38" i="7"/>
  <c r="L61" i="7"/>
  <c r="L45" i="7"/>
  <c r="L68" i="7"/>
  <c r="L35" i="7"/>
  <c r="L58" i="7"/>
  <c r="L34" i="7"/>
  <c r="L57" i="7"/>
  <c r="L50" i="7"/>
  <c r="L73" i="7"/>
  <c r="L37" i="7"/>
  <c r="L60" i="7"/>
  <c r="K54" i="14" l="1"/>
  <c r="J74" i="14"/>
  <c r="K74" i="14" s="1"/>
  <c r="O55" i="7"/>
  <c r="O74" i="7" s="1"/>
  <c r="L74" i="7"/>
  <c r="N74" i="7"/>
  <c r="L31" i="7"/>
  <c r="K51" i="7"/>
  <c r="L51" i="7" s="1"/>
  <c r="M62" i="14" l="1"/>
  <c r="N62" i="14" s="1"/>
  <c r="K39" i="14"/>
  <c r="C62" i="14"/>
  <c r="E62" i="14" s="1"/>
  <c r="C70" i="14"/>
  <c r="E70" i="14" s="1"/>
  <c r="K47" i="14"/>
  <c r="M70" i="14"/>
  <c r="N70" i="14" s="1"/>
  <c r="O70" i="14" s="1"/>
  <c r="M68" i="14"/>
  <c r="N68" i="14" s="1"/>
  <c r="C68" i="14"/>
  <c r="E68" i="14" s="1"/>
  <c r="K45" i="14"/>
  <c r="K36" i="14"/>
  <c r="M59" i="14"/>
  <c r="N59" i="14" s="1"/>
  <c r="C59" i="14"/>
  <c r="E59" i="14" s="1"/>
  <c r="C55" i="14"/>
  <c r="K32" i="14"/>
  <c r="M55" i="14"/>
  <c r="N55" i="14" s="1"/>
  <c r="K40" i="14"/>
  <c r="C63" i="14"/>
  <c r="E63" i="14" s="1"/>
  <c r="M63" i="14"/>
  <c r="N63" i="14" s="1"/>
  <c r="M69" i="14"/>
  <c r="N69" i="14" s="1"/>
  <c r="K46" i="14"/>
  <c r="C69" i="14"/>
  <c r="E69" i="14" s="1"/>
  <c r="C64" i="14"/>
  <c r="E64" i="14" s="1"/>
  <c r="K41" i="14"/>
  <c r="M64" i="14"/>
  <c r="N64" i="14" s="1"/>
  <c r="K42" i="14"/>
  <c r="M65" i="14"/>
  <c r="N65" i="14" s="1"/>
  <c r="C65" i="14"/>
  <c r="E65" i="14" s="1"/>
  <c r="C61" i="14"/>
  <c r="E61" i="14" s="1"/>
  <c r="K38" i="14"/>
  <c r="M61" i="14"/>
  <c r="N61" i="14" s="1"/>
  <c r="K44" i="14"/>
  <c r="M67" i="14"/>
  <c r="N67" i="14" s="1"/>
  <c r="O67" i="14" s="1"/>
  <c r="C67" i="14"/>
  <c r="E67" i="14" s="1"/>
  <c r="O64" i="14" l="1"/>
  <c r="O61" i="14"/>
  <c r="O63" i="14"/>
  <c r="L44" i="14"/>
  <c r="L67" i="14"/>
  <c r="L55" i="14"/>
  <c r="L32" i="14"/>
  <c r="L38" i="14"/>
  <c r="L61" i="14"/>
  <c r="O59" i="14"/>
  <c r="L63" i="14"/>
  <c r="L40" i="14"/>
  <c r="E55" i="14"/>
  <c r="O65" i="14"/>
  <c r="L59" i="14"/>
  <c r="L36" i="14"/>
  <c r="C73" i="14"/>
  <c r="E73" i="14" s="1"/>
  <c r="K50" i="14"/>
  <c r="M73" i="14"/>
  <c r="N73" i="14" s="1"/>
  <c r="L42" i="14"/>
  <c r="L65" i="14"/>
  <c r="L68" i="14"/>
  <c r="L45" i="14"/>
  <c r="C71" i="14"/>
  <c r="E71" i="14" s="1"/>
  <c r="M71" i="14"/>
  <c r="N71" i="14" s="1"/>
  <c r="K48" i="14"/>
  <c r="C66" i="14"/>
  <c r="E66" i="14" s="1"/>
  <c r="K43" i="14"/>
  <c r="M66" i="14"/>
  <c r="N66" i="14" s="1"/>
  <c r="O68" i="14"/>
  <c r="C57" i="14"/>
  <c r="E57" i="14" s="1"/>
  <c r="M57" i="14"/>
  <c r="N57" i="14" s="1"/>
  <c r="K34" i="14"/>
  <c r="L64" i="14"/>
  <c r="L41" i="14"/>
  <c r="M58" i="14"/>
  <c r="N58" i="14" s="1"/>
  <c r="C58" i="14"/>
  <c r="E58" i="14" s="1"/>
  <c r="K35" i="14"/>
  <c r="M72" i="14"/>
  <c r="N72" i="14" s="1"/>
  <c r="K49" i="14"/>
  <c r="C72" i="14"/>
  <c r="E72" i="14" s="1"/>
  <c r="M60" i="14"/>
  <c r="N60" i="14" s="1"/>
  <c r="C60" i="14"/>
  <c r="E60" i="14" s="1"/>
  <c r="K37" i="14"/>
  <c r="H76" i="14" a="1"/>
  <c r="H76" i="14" s="1"/>
  <c r="M54" i="14"/>
  <c r="L39" i="14"/>
  <c r="L62" i="14"/>
  <c r="K33" i="14"/>
  <c r="C56" i="14"/>
  <c r="E56" i="14" s="1"/>
  <c r="M56" i="14"/>
  <c r="N56" i="14" s="1"/>
  <c r="L47" i="14"/>
  <c r="L70" i="14"/>
  <c r="L69" i="14"/>
  <c r="L46" i="14"/>
  <c r="O69" i="14"/>
  <c r="O62" i="14"/>
  <c r="O71" i="14" l="1"/>
  <c r="O66" i="14"/>
  <c r="O56" i="14"/>
  <c r="O60" i="14"/>
  <c r="O57" i="14"/>
  <c r="O72" i="14"/>
  <c r="L58" i="14"/>
  <c r="L35" i="14"/>
  <c r="L34" i="14"/>
  <c r="L57" i="14"/>
  <c r="K31" i="14"/>
  <c r="J51" i="14"/>
  <c r="C74" i="14"/>
  <c r="N54" i="14"/>
  <c r="M74" i="14"/>
  <c r="L66" i="14"/>
  <c r="L43" i="14"/>
  <c r="L48" i="14"/>
  <c r="L71" i="14"/>
  <c r="O58" i="14"/>
  <c r="E74" i="14"/>
  <c r="O73" i="14"/>
  <c r="L60" i="14"/>
  <c r="L37" i="14"/>
  <c r="L49" i="14"/>
  <c r="L72" i="14"/>
  <c r="L33" i="14"/>
  <c r="L56" i="14"/>
  <c r="L73" i="14"/>
  <c r="L50" i="14"/>
  <c r="O55" i="14"/>
  <c r="O54" i="14" l="1"/>
  <c r="O74" i="14" s="1"/>
  <c r="N74" i="14"/>
  <c r="L31" i="14"/>
  <c r="L54" i="14"/>
  <c r="L74" i="14" s="1"/>
  <c r="K51" i="14"/>
  <c r="L51" i="14" s="1"/>
</calcChain>
</file>

<file path=xl/sharedStrings.xml><?xml version="1.0" encoding="utf-8"?>
<sst xmlns="http://schemas.openxmlformats.org/spreadsheetml/2006/main" count="488" uniqueCount="70">
  <si>
    <t>origin</t>
  </si>
  <si>
    <t>development</t>
  </si>
  <si>
    <t>lag</t>
  </si>
  <si>
    <t>claim</t>
  </si>
  <si>
    <t>premium</t>
  </si>
  <si>
    <t>Row Labels</t>
  </si>
  <si>
    <t>AY</t>
  </si>
  <si>
    <t>201003</t>
  </si>
  <si>
    <t>201006</t>
  </si>
  <si>
    <t>201009</t>
  </si>
  <si>
    <t>201012</t>
  </si>
  <si>
    <t>201103</t>
  </si>
  <si>
    <t>201106</t>
  </si>
  <si>
    <t>201109</t>
  </si>
  <si>
    <t>201112</t>
  </si>
  <si>
    <t>201203</t>
  </si>
  <si>
    <t>201206</t>
  </si>
  <si>
    <t>201209</t>
  </si>
  <si>
    <t>201212</t>
  </si>
  <si>
    <t>201303</t>
  </si>
  <si>
    <t>201306</t>
  </si>
  <si>
    <t>201309</t>
  </si>
  <si>
    <t>201312</t>
  </si>
  <si>
    <t>201403</t>
  </si>
  <si>
    <t>201406</t>
  </si>
  <si>
    <t>201409</t>
  </si>
  <si>
    <t>201412</t>
  </si>
  <si>
    <t>Sum of claim</t>
  </si>
  <si>
    <t>x(t+1)</t>
  </si>
  <si>
    <t>x</t>
  </si>
  <si>
    <t>LDF</t>
  </si>
  <si>
    <t>% to Ult</t>
  </si>
  <si>
    <t>Latest</t>
  </si>
  <si>
    <t>Min of premium</t>
  </si>
  <si>
    <t>IBNR - CL</t>
  </si>
  <si>
    <t>ULT - CL</t>
  </si>
  <si>
    <t>ULR - CL</t>
  </si>
  <si>
    <t>IELR - CC</t>
  </si>
  <si>
    <t>Decay</t>
  </si>
  <si>
    <t>IBNR - CC</t>
  </si>
  <si>
    <t>Ult - CC</t>
  </si>
  <si>
    <t>ULR - CC</t>
  </si>
  <si>
    <t>Total</t>
  </si>
  <si>
    <t>Expected</t>
  </si>
  <si>
    <t>Actual</t>
  </si>
  <si>
    <t>CY + 1</t>
  </si>
  <si>
    <t>AvE</t>
  </si>
  <si>
    <t>Latest (t+1)</t>
  </si>
  <si>
    <t>IELR - CC (t+1)</t>
  </si>
  <si>
    <t>IBNR - CC (t+1)</t>
  </si>
  <si>
    <t>Ult - CC (t+1)</t>
  </si>
  <si>
    <t>ULR - CC (t+1)</t>
  </si>
  <si>
    <t>CDR</t>
  </si>
  <si>
    <t>Delta IBNR</t>
  </si>
  <si>
    <t>Expected IBNR</t>
  </si>
  <si>
    <t>CDR Check</t>
  </si>
  <si>
    <t>Delta IELR</t>
  </si>
  <si>
    <t>delta IELR</t>
  </si>
  <si>
    <t>Cohort Axis - Accident Year</t>
  </si>
  <si>
    <t>Development Axis - Transaction Time</t>
  </si>
  <si>
    <t>IELR - BF</t>
  </si>
  <si>
    <t>IBNR - BF</t>
  </si>
  <si>
    <t>Ult - BF</t>
  </si>
  <si>
    <t>ULR-BF</t>
  </si>
  <si>
    <t>95%</t>
  </si>
  <si>
    <t>100%</t>
  </si>
  <si>
    <t>Include?</t>
  </si>
  <si>
    <t>Rate</t>
  </si>
  <si>
    <t>t - 80%</t>
  </si>
  <si>
    <t>t+1 - 80%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</si>
</sst>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_-* #,##0.000_-;\-* #,##0.000_-;_-* &quot;-&quot;??_-;_-@_-"/>
    <numFmt numFmtId="166" formatCode="0.0%"/>
    <numFmt numFmtId="167" formatCode="_-* #,##0.0_-;\-* #,##0.0_-;_-* &quot;-&quot;?_-;_-@_-"/>
    <numFmt numFmtId="168" formatCode="0.000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u val="singleAccounting"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7">
    <xf numFmtId="0" fontId="0" fillId="0" borderId="0" xfId="0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18" fillId="0" borderId="0" xfId="0" applyFont="1"/>
    <xf numFmtId="0" fontId="18" fillId="0" borderId="0" xfId="0" applyFont="1" applyAlignment="1">
      <alignment horizontal="right"/>
    </xf>
    <xf numFmtId="164" fontId="18" fillId="0" borderId="0" xfId="0" applyNumberFormat="1" applyFont="1"/>
    <xf numFmtId="164" fontId="0" fillId="0" borderId="0" xfId="1" applyNumberFormat="1" applyFont="1"/>
    <xf numFmtId="165" fontId="0" fillId="0" borderId="0" xfId="1" applyNumberFormat="1" applyFont="1"/>
    <xf numFmtId="9" fontId="0" fillId="0" borderId="0" xfId="2" applyFont="1"/>
    <xf numFmtId="9" fontId="0" fillId="0" borderId="0" xfId="0" applyNumberFormat="1"/>
    <xf numFmtId="0" fontId="0" fillId="0" borderId="10" xfId="0" applyBorder="1"/>
    <xf numFmtId="0" fontId="0" fillId="0" borderId="10" xfId="0" applyBorder="1" applyAlignment="1">
      <alignment horizontal="left"/>
    </xf>
    <xf numFmtId="164" fontId="0" fillId="0" borderId="10" xfId="1" applyNumberFormat="1" applyFont="1" applyBorder="1"/>
    <xf numFmtId="9" fontId="0" fillId="0" borderId="10" xfId="2" applyFont="1" applyBorder="1"/>
    <xf numFmtId="0" fontId="19" fillId="0" borderId="10" xfId="0" applyFont="1" applyBorder="1" applyAlignment="1">
      <alignment horizontal="right"/>
    </xf>
    <xf numFmtId="164" fontId="19" fillId="33" borderId="10" xfId="0" applyNumberFormat="1" applyFont="1" applyFill="1" applyBorder="1"/>
    <xf numFmtId="164" fontId="0" fillId="0" borderId="10" xfId="0" applyNumberFormat="1" applyBorder="1"/>
    <xf numFmtId="0" fontId="19" fillId="0" borderId="10" xfId="0" applyFont="1" applyBorder="1"/>
    <xf numFmtId="43" fontId="0" fillId="0" borderId="10" xfId="0" applyNumberFormat="1" applyBorder="1"/>
    <xf numFmtId="0" fontId="0" fillId="0" borderId="11" xfId="0" applyBorder="1" applyAlignment="1">
      <alignment horizontal="left"/>
    </xf>
    <xf numFmtId="164" fontId="0" fillId="0" borderId="11" xfId="1" applyNumberFormat="1" applyFont="1" applyBorder="1"/>
    <xf numFmtId="9" fontId="0" fillId="0" borderId="11" xfId="2" applyFont="1" applyBorder="1"/>
    <xf numFmtId="164" fontId="0" fillId="0" borderId="11" xfId="0" applyNumberFormat="1" applyBorder="1"/>
    <xf numFmtId="43" fontId="0" fillId="0" borderId="11" xfId="0" applyNumberFormat="1" applyBorder="1"/>
    <xf numFmtId="0" fontId="18" fillId="0" borderId="12" xfId="0" applyFont="1" applyBorder="1" applyAlignment="1">
      <alignment horizontal="right"/>
    </xf>
    <xf numFmtId="9" fontId="0" fillId="0" borderId="13" xfId="0" applyNumberFormat="1" applyBorder="1"/>
    <xf numFmtId="0" fontId="18" fillId="0" borderId="14" xfId="0" applyFont="1" applyFill="1" applyBorder="1" applyAlignment="1">
      <alignment horizontal="right"/>
    </xf>
    <xf numFmtId="164" fontId="0" fillId="0" borderId="15" xfId="0" applyNumberFormat="1" applyBorder="1"/>
    <xf numFmtId="0" fontId="0" fillId="0" borderId="15" xfId="0" applyBorder="1"/>
    <xf numFmtId="164" fontId="0" fillId="0" borderId="15" xfId="0" applyNumberFormat="1" applyFill="1" applyBorder="1"/>
    <xf numFmtId="9" fontId="0" fillId="0" borderId="15" xfId="2" applyFont="1" applyFill="1" applyBorder="1"/>
    <xf numFmtId="9" fontId="0" fillId="0" borderId="16" xfId="2" applyFont="1" applyFill="1" applyBorder="1"/>
    <xf numFmtId="164" fontId="0" fillId="0" borderId="11" xfId="1" applyNumberFormat="1" applyFont="1" applyBorder="1" applyAlignment="1">
      <alignment horizontal="left"/>
    </xf>
    <xf numFmtId="164" fontId="0" fillId="0" borderId="10" xfId="1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19" fillId="0" borderId="0" xfId="0" applyFont="1"/>
    <xf numFmtId="0" fontId="20" fillId="0" borderId="0" xfId="0" applyFont="1"/>
    <xf numFmtId="164" fontId="22" fillId="0" borderId="0" xfId="1" applyNumberFormat="1" applyFont="1"/>
    <xf numFmtId="166" fontId="0" fillId="0" borderId="10" xfId="2" applyNumberFormat="1" applyFont="1" applyBorder="1"/>
    <xf numFmtId="166" fontId="0" fillId="0" borderId="11" xfId="2" applyNumberFormat="1" applyFont="1" applyBorder="1"/>
    <xf numFmtId="164" fontId="18" fillId="0" borderId="10" xfId="0" applyNumberFormat="1" applyFont="1" applyBorder="1"/>
    <xf numFmtId="166" fontId="0" fillId="0" borderId="10" xfId="0" applyNumberFormat="1" applyBorder="1"/>
    <xf numFmtId="167" fontId="0" fillId="0" borderId="10" xfId="0" applyNumberFormat="1" applyBorder="1"/>
    <xf numFmtId="166" fontId="0" fillId="0" borderId="11" xfId="0" applyNumberFormat="1" applyBorder="1"/>
    <xf numFmtId="167" fontId="0" fillId="0" borderId="11" xfId="0" applyNumberFormat="1" applyBorder="1"/>
    <xf numFmtId="164" fontId="0" fillId="0" borderId="16" xfId="0" applyNumberFormat="1" applyBorder="1"/>
    <xf numFmtId="9" fontId="0" fillId="0" borderId="15" xfId="0" applyNumberFormat="1" applyBorder="1"/>
    <xf numFmtId="9" fontId="18" fillId="0" borderId="0" xfId="0" applyNumberFormat="1" applyFont="1"/>
    <xf numFmtId="166" fontId="18" fillId="0" borderId="0" xfId="0" applyNumberFormat="1" applyFont="1"/>
    <xf numFmtId="0" fontId="21" fillId="0" borderId="0" xfId="0" applyFont="1"/>
    <xf numFmtId="0" fontId="21" fillId="0" borderId="0" xfId="0" applyFont="1" applyAlignment="1">
      <alignment horizontal="center"/>
    </xf>
    <xf numFmtId="168" fontId="0" fillId="0" borderId="10" xfId="2" applyNumberFormat="1" applyFont="1" applyBorder="1"/>
    <xf numFmtId="164" fontId="0" fillId="0" borderId="10" xfId="1" applyNumberFormat="1" applyFont="1" applyBorder="1" applyAlignment="1">
      <alignment horizontal="center"/>
    </xf>
    <xf numFmtId="0" fontId="16" fillId="34" borderId="17" xfId="0" applyFont="1" applyFill="1" applyBorder="1"/>
    <xf numFmtId="0" fontId="16" fillId="34" borderId="0" xfId="0" applyFont="1" applyFill="1"/>
    <xf numFmtId="0" fontId="0" fillId="35" borderId="0" xfId="0" applyFill="1"/>
    <xf numFmtId="0" fontId="0" fillId="36" borderId="0" xfId="0" applyFill="1"/>
    <xf numFmtId="43" fontId="0" fillId="0" borderId="0" xfId="1" applyFont="1"/>
    <xf numFmtId="0" fontId="23" fillId="0" borderId="18" xfId="0" applyFont="1" applyBorder="1" applyAlignment="1">
      <alignment horizontal="center" vertical="center" textRotation="90"/>
    </xf>
    <xf numFmtId="0" fontId="23" fillId="0" borderId="19" xfId="0" applyFont="1" applyBorder="1" applyAlignment="1">
      <alignment horizontal="center" vertical="center" textRotation="90"/>
    </xf>
    <xf numFmtId="0" fontId="23" fillId="0" borderId="20" xfId="0" applyFont="1" applyBorder="1" applyAlignment="1">
      <alignment horizontal="center" vertical="center" textRotation="90"/>
    </xf>
    <xf numFmtId="0" fontId="23" fillId="0" borderId="12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9" fontId="21" fillId="0" borderId="0" xfId="0" quotePrefix="1" applyNumberFormat="1" applyFont="1"/>
    <xf numFmtId="43" fontId="0" fillId="0" borderId="10" xfId="1" applyNumberFormat="1" applyFont="1" applyBorder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54">
    <dxf>
      <numFmt numFmtId="164" formatCode="_-* #,##0_-;\-* #,##0_-;_-* &quot;-&quot;??_-;_-@_-"/>
    </dxf>
    <dxf>
      <font>
        <b/>
        <i/>
      </font>
      <numFmt numFmtId="164" formatCode="_-* #,##0_-;\-* #,##0_-;_-* &quot;-&quot;??_-;_-@_-"/>
    </dxf>
    <dxf>
      <font>
        <b/>
        <i/>
      </font>
      <numFmt numFmtId="164" formatCode="_-* #,##0_-;\-* #,##0_-;_-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u/>
      </font>
    </dxf>
    <dxf>
      <font>
        <u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font>
        <b/>
        <i/>
      </font>
      <numFmt numFmtId="164" formatCode="_-* #,##0_-;\-* #,##0_-;_-* &quot;-&quot;??_-;_-@_-"/>
    </dxf>
    <dxf>
      <font>
        <b/>
        <i/>
      </font>
      <numFmt numFmtId="164" formatCode="_-* #,##0_-;\-* #,##0_-;_-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u/>
      </font>
    </dxf>
    <dxf>
      <font>
        <u/>
      </font>
    </dxf>
    <dxf>
      <font>
        <u/>
      </font>
    </dxf>
    <dxf>
      <font>
        <u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/>
        <i/>
      </font>
      <numFmt numFmtId="164" formatCode="_-* #,##0_-;\-* #,##0_-;_-* &quot;-&quot;??_-;_-@_-"/>
    </dxf>
    <dxf>
      <font>
        <b/>
        <i/>
      </font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font>
        <u/>
      </font>
    </dxf>
    <dxf>
      <font>
        <u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/>
        <i/>
      </font>
      <numFmt numFmtId="164" formatCode="_-* #,##0_-;\-* #,##0_-;_-* &quot;-&quot;??_-;_-@_-"/>
    </dxf>
    <dxf>
      <font>
        <b/>
        <i/>
      </font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'CC examples - SME'!$V$38</c:f>
              <c:strCache>
                <c:ptCount val="1"/>
                <c:pt idx="0">
                  <c:v>201003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SME'!$V$39:$V$59</c:f>
              <c:numCache>
                <c:formatCode>0%</c:formatCode>
                <c:ptCount val="21"/>
                <c:pt idx="0">
                  <c:v>0.46929407744676555</c:v>
                </c:pt>
                <c:pt idx="1">
                  <c:v>0.46644721563050517</c:v>
                </c:pt>
                <c:pt idx="2">
                  <c:v>0.46319304607917045</c:v>
                </c:pt>
                <c:pt idx="3">
                  <c:v>0.45962632920092861</c:v>
                </c:pt>
                <c:pt idx="4">
                  <c:v>0.45583693332643416</c:v>
                </c:pt>
                <c:pt idx="5">
                  <c:v>0.45191510060359552</c:v>
                </c:pt>
                <c:pt idx="6">
                  <c:v>0.44795312239292434</c:v>
                </c:pt>
                <c:pt idx="7">
                  <c:v>0.44404895993235777</c:v>
                </c:pt>
                <c:pt idx="8">
                  <c:v>0.44031227721258392</c:v>
                </c:pt>
                <c:pt idx="9">
                  <c:v>0.43687363590385014</c:v>
                </c:pt>
                <c:pt idx="10">
                  <c:v>0.4338979131165725</c:v>
                </c:pt>
                <c:pt idx="11">
                  <c:v>0.43160312114652483</c:v>
                </c:pt>
                <c:pt idx="12">
                  <c:v>0.43028509431694217</c:v>
                </c:pt>
                <c:pt idx="13">
                  <c:v>0.43034519764005558</c:v>
                </c:pt>
                <c:pt idx="14">
                  <c:v>0.43230834385604078</c:v>
                </c:pt>
                <c:pt idx="15">
                  <c:v>0.43679655883593321</c:v>
                </c:pt>
                <c:pt idx="16">
                  <c:v>0.44439157271721269</c:v>
                </c:pt>
                <c:pt idx="17">
                  <c:v>0.45531902420562054</c:v>
                </c:pt>
                <c:pt idx="18">
                  <c:v>0.46901658008502412</c:v>
                </c:pt>
                <c:pt idx="19">
                  <c:v>0.48393050680862626</c:v>
                </c:pt>
                <c:pt idx="20">
                  <c:v>0.49795652864262424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B-4AB8-97A2-333D1ECE5228}"/>
            </c:ext>
          </c:extLst>
        </c:ser>
        <c:ser>
          <c:idx val="1"/>
          <c:order val="1"/>
          <c:tx>
            <c:strRef>
              <c:f>'CC examples - SME'!$W$38</c:f>
              <c:strCache>
                <c:ptCount val="1"/>
                <c:pt idx="0">
                  <c:v>201006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SME'!$W$39:$W$59</c:f>
              <c:numCache>
                <c:formatCode>0%</c:formatCode>
                <c:ptCount val="21"/>
                <c:pt idx="0">
                  <c:v>0.41932603216685005</c:v>
                </c:pt>
                <c:pt idx="1">
                  <c:v>0.41719549078098506</c:v>
                </c:pt>
                <c:pt idx="2">
                  <c:v>0.41550358302381196</c:v>
                </c:pt>
                <c:pt idx="3">
                  <c:v>0.4141936431975336</c:v>
                </c:pt>
                <c:pt idx="4">
                  <c:v>0.41321789802798709</c:v>
                </c:pt>
                <c:pt idx="5">
                  <c:v>0.41254214541276923</c:v>
                </c:pt>
                <c:pt idx="6">
                  <c:v>0.41214708505508801</c:v>
                </c:pt>
                <c:pt idx="7">
                  <c:v>0.4120310481620626</c:v>
                </c:pt>
                <c:pt idx="8">
                  <c:v>0.41221449607961536</c:v>
                </c:pt>
                <c:pt idx="9">
                  <c:v>0.41274699366131135</c:v>
                </c:pt>
                <c:pt idx="10">
                  <c:v>0.41371762143287599</c:v>
                </c:pt>
                <c:pt idx="11">
                  <c:v>0.41526981584652328</c:v>
                </c:pt>
                <c:pt idx="12">
                  <c:v>0.41762086887588723</c:v>
                </c:pt>
                <c:pt idx="13">
                  <c:v>0.42108325039408684</c:v>
                </c:pt>
                <c:pt idx="14">
                  <c:v>0.42607631837748372</c:v>
                </c:pt>
                <c:pt idx="15">
                  <c:v>0.43309878164113685</c:v>
                </c:pt>
                <c:pt idx="16">
                  <c:v>0.44260765312590455</c:v>
                </c:pt>
                <c:pt idx="17">
                  <c:v>0.45475147035887725</c:v>
                </c:pt>
                <c:pt idx="18">
                  <c:v>0.46901108676908293</c:v>
                </c:pt>
                <c:pt idx="19">
                  <c:v>0.4840266653289369</c:v>
                </c:pt>
                <c:pt idx="20">
                  <c:v>0.49795652864262424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DB-4AB8-97A2-333D1ECE5228}"/>
            </c:ext>
          </c:extLst>
        </c:ser>
        <c:ser>
          <c:idx val="2"/>
          <c:order val="2"/>
          <c:tx>
            <c:strRef>
              <c:f>'CC examples - SME'!$X$38</c:f>
              <c:strCache>
                <c:ptCount val="1"/>
                <c:pt idx="0">
                  <c:v>201009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SME'!$X$39:$X$59</c:f>
              <c:numCache>
                <c:formatCode>0%</c:formatCode>
                <c:ptCount val="21"/>
                <c:pt idx="0">
                  <c:v>0.32532646120273268</c:v>
                </c:pt>
                <c:pt idx="1">
                  <c:v>0.33491136348433426</c:v>
                </c:pt>
                <c:pt idx="2">
                  <c:v>0.34385929314802993</c:v>
                </c:pt>
                <c:pt idx="3">
                  <c:v>0.35214921758258322</c:v>
                </c:pt>
                <c:pt idx="4">
                  <c:v>0.35980878915706538</c:v>
                </c:pt>
                <c:pt idx="5">
                  <c:v>0.36688775706292975</c:v>
                </c:pt>
                <c:pt idx="6">
                  <c:v>0.37345359136862405</c:v>
                </c:pt>
                <c:pt idx="7">
                  <c:v>0.37958958219923766</c:v>
                </c:pt>
                <c:pt idx="8">
                  <c:v>0.38539563431511326</c:v>
                </c:pt>
                <c:pt idx="9">
                  <c:v>0.39099207360931076</c:v>
                </c:pt>
                <c:pt idx="10">
                  <c:v>0.39652683928999094</c:v>
                </c:pt>
                <c:pt idx="11">
                  <c:v>0.40218630619504947</c:v>
                </c:pt>
                <c:pt idx="12">
                  <c:v>0.40820916039106908</c:v>
                </c:pt>
                <c:pt idx="13">
                  <c:v>0.41489999850635484</c:v>
                </c:pt>
                <c:pt idx="14">
                  <c:v>0.42263241074656765</c:v>
                </c:pt>
                <c:pt idx="15">
                  <c:v>0.43181820995411785</c:v>
                </c:pt>
                <c:pt idx="16">
                  <c:v>0.44280444773621391</c:v>
                </c:pt>
                <c:pt idx="17">
                  <c:v>0.45566729518259014</c:v>
                </c:pt>
                <c:pt idx="18">
                  <c:v>0.46995007379578485</c:v>
                </c:pt>
                <c:pt idx="19">
                  <c:v>0.48454432032759354</c:v>
                </c:pt>
                <c:pt idx="20">
                  <c:v>0.49795652864262424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DB-4AB8-97A2-333D1ECE5228}"/>
            </c:ext>
          </c:extLst>
        </c:ser>
        <c:ser>
          <c:idx val="3"/>
          <c:order val="3"/>
          <c:tx>
            <c:strRef>
              <c:f>'CC examples - SME'!$Y$38</c:f>
              <c:strCache>
                <c:ptCount val="1"/>
                <c:pt idx="0">
                  <c:v>201012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SME'!$Y$39:$Y$59</c:f>
              <c:numCache>
                <c:formatCode>0%</c:formatCode>
                <c:ptCount val="21"/>
                <c:pt idx="0">
                  <c:v>0.42914864733507369</c:v>
                </c:pt>
                <c:pt idx="1">
                  <c:v>0.42575683842939732</c:v>
                </c:pt>
                <c:pt idx="2">
                  <c:v>0.42282656408535263</c:v>
                </c:pt>
                <c:pt idx="3">
                  <c:v>0.4203821093020727</c:v>
                </c:pt>
                <c:pt idx="4">
                  <c:v>0.41844024040454914</c:v>
                </c:pt>
                <c:pt idx="5">
                  <c:v>0.41701642229642527</c:v>
                </c:pt>
                <c:pt idx="6">
                  <c:v>0.41612585573739314</c:v>
                </c:pt>
                <c:pt idx="7">
                  <c:v>0.41578652358328499</c:v>
                </c:pt>
                <c:pt idx="8">
                  <c:v>0.41602412530763438</c:v>
                </c:pt>
                <c:pt idx="9">
                  <c:v>0.41687878805157208</c:v>
                </c:pt>
                <c:pt idx="10">
                  <c:v>0.41841349398226213</c:v>
                </c:pt>
                <c:pt idx="11">
                  <c:v>0.42072407567081704</c:v>
                </c:pt>
                <c:pt idx="12">
                  <c:v>0.4239499148303319</c:v>
                </c:pt>
                <c:pt idx="13">
                  <c:v>0.42828217512539174</c:v>
                </c:pt>
                <c:pt idx="14">
                  <c:v>0.43396115532068652</c:v>
                </c:pt>
                <c:pt idx="15">
                  <c:v>0.44124563253992771</c:v>
                </c:pt>
                <c:pt idx="16">
                  <c:v>0.45032926093997239</c:v>
                </c:pt>
                <c:pt idx="17">
                  <c:v>0.46118860214052032</c:v>
                </c:pt>
                <c:pt idx="18">
                  <c:v>0.47340076891067917</c:v>
                </c:pt>
                <c:pt idx="19">
                  <c:v>0.4860610056025077</c:v>
                </c:pt>
                <c:pt idx="20">
                  <c:v>0.49795652864262413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DB-4AB8-97A2-333D1ECE5228}"/>
            </c:ext>
          </c:extLst>
        </c:ser>
        <c:ser>
          <c:idx val="4"/>
          <c:order val="4"/>
          <c:tx>
            <c:strRef>
              <c:f>'CC examples - SME'!$Z$38</c:f>
              <c:strCache>
                <c:ptCount val="1"/>
                <c:pt idx="0">
                  <c:v>201103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SME'!$Z$39:$Z$59</c:f>
              <c:numCache>
                <c:formatCode>0%</c:formatCode>
                <c:ptCount val="21"/>
                <c:pt idx="0">
                  <c:v>0.45800755939970778</c:v>
                </c:pt>
                <c:pt idx="1">
                  <c:v>0.4531054431184503</c:v>
                </c:pt>
                <c:pt idx="2">
                  <c:v>0.44858017467690081</c:v>
                </c:pt>
                <c:pt idx="3">
                  <c:v>0.44451548226489901</c:v>
                </c:pt>
                <c:pt idx="4">
                  <c:v>0.4409694357957244</c:v>
                </c:pt>
                <c:pt idx="5">
                  <c:v>0.43798790599926002</c:v>
                </c:pt>
                <c:pt idx="6">
                  <c:v>0.43560869112520761</c:v>
                </c:pt>
                <c:pt idx="7">
                  <c:v>0.43386638692743268</c:v>
                </c:pt>
                <c:pt idx="8">
                  <c:v>0.43279784138267502</c:v>
                </c:pt>
                <c:pt idx="9">
                  <c:v>0.4324480944150455</c:v>
                </c:pt>
                <c:pt idx="10">
                  <c:v>0.43287680061532779</c:v>
                </c:pt>
                <c:pt idx="11">
                  <c:v>0.43416503001066187</c:v>
                </c:pt>
                <c:pt idx="12">
                  <c:v>0.43642161314230277</c:v>
                </c:pt>
                <c:pt idx="13">
                  <c:v>0.43978623909616621</c:v>
                </c:pt>
                <c:pt idx="14">
                  <c:v>0.44442280775722232</c:v>
                </c:pt>
                <c:pt idx="15">
                  <c:v>0.45049161701777812</c:v>
                </c:pt>
                <c:pt idx="16">
                  <c:v>0.45808665929907155</c:v>
                </c:pt>
                <c:pt idx="17">
                  <c:v>0.46713413808668924</c:v>
                </c:pt>
                <c:pt idx="18">
                  <c:v>0.47728137437208196</c:v>
                </c:pt>
                <c:pt idx="19">
                  <c:v>0.48785265739434336</c:v>
                </c:pt>
                <c:pt idx="20">
                  <c:v>0.49795652864262402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DB-4AB8-97A2-333D1ECE5228}"/>
            </c:ext>
          </c:extLst>
        </c:ser>
        <c:ser>
          <c:idx val="5"/>
          <c:order val="5"/>
          <c:tx>
            <c:strRef>
              <c:f>'CC examples - SME'!$AA$38</c:f>
              <c:strCache>
                <c:ptCount val="1"/>
                <c:pt idx="0">
                  <c:v>201106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SME'!$AA$39:$AA$59</c:f>
              <c:numCache>
                <c:formatCode>0%</c:formatCode>
                <c:ptCount val="21"/>
                <c:pt idx="0">
                  <c:v>0.38534957937484293</c:v>
                </c:pt>
                <c:pt idx="1">
                  <c:v>0.39176072923920185</c:v>
                </c:pt>
                <c:pt idx="2">
                  <c:v>0.39783183927588084</c:v>
                </c:pt>
                <c:pt idx="3">
                  <c:v>0.40351200209832305</c:v>
                </c:pt>
                <c:pt idx="4">
                  <c:v>0.40878510914026672</c:v>
                </c:pt>
                <c:pt idx="5">
                  <c:v>0.41365799944912879</c:v>
                </c:pt>
                <c:pt idx="6">
                  <c:v>0.41816134944945083</c:v>
                </c:pt>
                <c:pt idx="7">
                  <c:v>0.42234980966150543</c:v>
                </c:pt>
                <c:pt idx="8">
                  <c:v>0.42630134165867883</c:v>
                </c:pt>
                <c:pt idx="9">
                  <c:v>0.43011601356012324</c:v>
                </c:pt>
                <c:pt idx="10">
                  <c:v>0.43391467999943278</c:v>
                </c:pt>
                <c:pt idx="11">
                  <c:v>0.43783778557186281</c:v>
                </c:pt>
                <c:pt idx="12">
                  <c:v>0.44204373980897771</c:v>
                </c:pt>
                <c:pt idx="13">
                  <c:v>0.44670472260660693</c:v>
                </c:pt>
                <c:pt idx="14">
                  <c:v>0.45199550061544003</c:v>
                </c:pt>
                <c:pt idx="15">
                  <c:v>0.4580688279210503</c:v>
                </c:pt>
                <c:pt idx="16">
                  <c:v>0.46501186602606065</c:v>
                </c:pt>
                <c:pt idx="17">
                  <c:v>0.47278601512515045</c:v>
                </c:pt>
                <c:pt idx="18">
                  <c:v>0.48116996559348857</c:v>
                </c:pt>
                <c:pt idx="19">
                  <c:v>0.48974466861928323</c:v>
                </c:pt>
                <c:pt idx="20">
                  <c:v>0.49795652864262424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BDB-4AB8-97A2-333D1ECE5228}"/>
            </c:ext>
          </c:extLst>
        </c:ser>
        <c:ser>
          <c:idx val="6"/>
          <c:order val="6"/>
          <c:tx>
            <c:strRef>
              <c:f>'CC examples - SME'!$AB$38</c:f>
              <c:strCache>
                <c:ptCount val="1"/>
                <c:pt idx="0">
                  <c:v>201109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SME'!$AB$39:$AB$59</c:f>
              <c:numCache>
                <c:formatCode>0%</c:formatCode>
                <c:ptCount val="21"/>
                <c:pt idx="0">
                  <c:v>0.4437111203237088</c:v>
                </c:pt>
                <c:pt idx="1">
                  <c:v>0.44578051017121423</c:v>
                </c:pt>
                <c:pt idx="2">
                  <c:v>0.44770870400683627</c:v>
                </c:pt>
                <c:pt idx="3">
                  <c:v>0.44946800983895424</c:v>
                </c:pt>
                <c:pt idx="4">
                  <c:v>0.45105259594733998</c:v>
                </c:pt>
                <c:pt idx="5">
                  <c:v>0.45247541391019497</c:v>
                </c:pt>
                <c:pt idx="6">
                  <c:v>0.45376769165972153</c:v>
                </c:pt>
                <c:pt idx="7">
                  <c:v>0.45497730473832271</c:v>
                </c:pt>
                <c:pt idx="8">
                  <c:v>0.45616670396929748</c:v>
                </c:pt>
                <c:pt idx="9">
                  <c:v>0.45741104684317607</c:v>
                </c:pt>
                <c:pt idx="10">
                  <c:v>0.4587969486139053</c:v>
                </c:pt>
                <c:pt idx="11">
                  <c:v>0.46042176246673783</c:v>
                </c:pt>
                <c:pt idx="12">
                  <c:v>0.46239247164447245</c:v>
                </c:pt>
                <c:pt idx="13">
                  <c:v>0.46482219644662576</c:v>
                </c:pt>
                <c:pt idx="14">
                  <c:v>0.46782130865529697</c:v>
                </c:pt>
                <c:pt idx="15">
                  <c:v>0.47147997840683242</c:v>
                </c:pt>
                <c:pt idx="16">
                  <c:v>0.47584092868951389</c:v>
                </c:pt>
                <c:pt idx="17">
                  <c:v>0.48086641498365762</c:v>
                </c:pt>
                <c:pt idx="18">
                  <c:v>0.48641125557575698</c:v>
                </c:pt>
                <c:pt idx="19">
                  <c:v>0.49221932002210156</c:v>
                </c:pt>
                <c:pt idx="20">
                  <c:v>0.49795652864262413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DB-4AB8-97A2-333D1ECE5228}"/>
            </c:ext>
          </c:extLst>
        </c:ser>
        <c:ser>
          <c:idx val="7"/>
          <c:order val="7"/>
          <c:tx>
            <c:strRef>
              <c:f>'CC examples - SME'!$AC$38</c:f>
              <c:strCache>
                <c:ptCount val="1"/>
                <c:pt idx="0">
                  <c:v>201112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SME'!$AC$39:$AC$59</c:f>
              <c:numCache>
                <c:formatCode>0%</c:formatCode>
                <c:ptCount val="21"/>
                <c:pt idx="0">
                  <c:v>0.54098080166374485</c:v>
                </c:pt>
                <c:pt idx="1">
                  <c:v>0.5338940583038736</c:v>
                </c:pt>
                <c:pt idx="2">
                  <c:v>0.52706495858456848</c:v>
                </c:pt>
                <c:pt idx="3">
                  <c:v>0.52059832684995277</c:v>
                </c:pt>
                <c:pt idx="4">
                  <c:v>0.51457271382261849</c:v>
                </c:pt>
                <c:pt idx="5">
                  <c:v>0.50905135815521141</c:v>
                </c:pt>
                <c:pt idx="6">
                  <c:v>0.50408039815019545</c:v>
                </c:pt>
                <c:pt idx="7">
                  <c:v>0.49968910470135053</c:v>
                </c:pt>
                <c:pt idx="8">
                  <c:v>0.49589229280246061</c:v>
                </c:pt>
                <c:pt idx="9">
                  <c:v>0.49269476954630931</c:v>
                </c:pt>
                <c:pt idx="10">
                  <c:v>0.490097266899511</c:v>
                </c:pt>
                <c:pt idx="11">
                  <c:v>0.48810278857190925</c:v>
                </c:pt>
                <c:pt idx="12">
                  <c:v>0.48672173000508429</c:v>
                </c:pt>
                <c:pt idx="13">
                  <c:v>0.4859736731758228</c:v>
                </c:pt>
                <c:pt idx="14">
                  <c:v>0.48588372517245321</c:v>
                </c:pt>
                <c:pt idx="15">
                  <c:v>0.48647209924763579</c:v>
                </c:pt>
                <c:pt idx="16">
                  <c:v>0.48773769862390726</c:v>
                </c:pt>
                <c:pt idx="17">
                  <c:v>0.48963959564878423</c:v>
                </c:pt>
                <c:pt idx="18">
                  <c:v>0.49208326774245748</c:v>
                </c:pt>
                <c:pt idx="19">
                  <c:v>0.49491903045882146</c:v>
                </c:pt>
                <c:pt idx="20">
                  <c:v>0.49795652864262413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BDB-4AB8-97A2-333D1ECE5228}"/>
            </c:ext>
          </c:extLst>
        </c:ser>
        <c:ser>
          <c:idx val="8"/>
          <c:order val="8"/>
          <c:tx>
            <c:strRef>
              <c:f>'CC examples - SME'!$AD$38</c:f>
              <c:strCache>
                <c:ptCount val="1"/>
                <c:pt idx="0">
                  <c:v>201203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SME'!$AD$39:$AD$59</c:f>
              <c:numCache>
                <c:formatCode>0%</c:formatCode>
                <c:ptCount val="21"/>
                <c:pt idx="0">
                  <c:v>0.49207150395067084</c:v>
                </c:pt>
                <c:pt idx="1">
                  <c:v>0.49193936629169288</c:v>
                </c:pt>
                <c:pt idx="2">
                  <c:v>0.4918837943539085</c:v>
                </c:pt>
                <c:pt idx="3">
                  <c:v>0.49194552190791752</c:v>
                </c:pt>
                <c:pt idx="4">
                  <c:v>0.49214449146591688</c:v>
                </c:pt>
                <c:pt idx="5">
                  <c:v>0.49247920055042349</c:v>
                </c:pt>
                <c:pt idx="6">
                  <c:v>0.49292808118282322</c:v>
                </c:pt>
                <c:pt idx="7">
                  <c:v>0.49345321802544273</c:v>
                </c:pt>
                <c:pt idx="8">
                  <c:v>0.49400618325649887</c:v>
                </c:pt>
                <c:pt idx="9">
                  <c:v>0.49453553617670548</c:v>
                </c:pt>
                <c:pt idx="10">
                  <c:v>0.4949952738611178</c:v>
                </c:pt>
                <c:pt idx="11">
                  <c:v>0.49535321568162777</c:v>
                </c:pt>
                <c:pt idx="12">
                  <c:v>0.49559798415693013</c:v>
                </c:pt>
                <c:pt idx="13">
                  <c:v>0.4957430053259359</c:v>
                </c:pt>
                <c:pt idx="14">
                  <c:v>0.49582599660035537</c:v>
                </c:pt>
                <c:pt idx="15">
                  <c:v>0.49590301209346627</c:v>
                </c:pt>
                <c:pt idx="16">
                  <c:v>0.49603744375854253</c:v>
                </c:pt>
                <c:pt idx="17">
                  <c:v>0.49628620352085501</c:v>
                </c:pt>
                <c:pt idx="18">
                  <c:v>0.49668684474835734</c:v>
                </c:pt>
                <c:pt idx="19">
                  <c:v>0.49724957982731299</c:v>
                </c:pt>
                <c:pt idx="20">
                  <c:v>0.49795652864262413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BDB-4AB8-97A2-333D1ECE5228}"/>
            </c:ext>
          </c:extLst>
        </c:ser>
        <c:ser>
          <c:idx val="9"/>
          <c:order val="9"/>
          <c:tx>
            <c:strRef>
              <c:f>'CC examples - SME'!$AE$38</c:f>
              <c:strCache>
                <c:ptCount val="1"/>
                <c:pt idx="0">
                  <c:v>201206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SME'!$AE$39:$AE$59</c:f>
              <c:numCache>
                <c:formatCode>0%</c:formatCode>
                <c:ptCount val="21"/>
                <c:pt idx="0">
                  <c:v>0.44141405044397136</c:v>
                </c:pt>
                <c:pt idx="1">
                  <c:v>0.44867403240578863</c:v>
                </c:pt>
                <c:pt idx="2">
                  <c:v>0.45605036035905533</c:v>
                </c:pt>
                <c:pt idx="3">
                  <c:v>0.46336622338761474</c:v>
                </c:pt>
                <c:pt idx="4">
                  <c:v>0.47046255927329717</c:v>
                </c:pt>
                <c:pt idx="5">
                  <c:v>0.47718945256391543</c:v>
                </c:pt>
                <c:pt idx="6">
                  <c:v>0.4834111459675996</c:v>
                </c:pt>
                <c:pt idx="7">
                  <c:v>0.48901009919938915</c:v>
                </c:pt>
                <c:pt idx="8">
                  <c:v>0.49389008884824021</c:v>
                </c:pt>
                <c:pt idx="9">
                  <c:v>0.4979785656616959</c:v>
                </c:pt>
                <c:pt idx="10">
                  <c:v>0.50122866713699699</c:v>
                </c:pt>
                <c:pt idx="11">
                  <c:v>0.50362132155123873</c:v>
                </c:pt>
                <c:pt idx="12">
                  <c:v>0.50516764755036958</c:v>
                </c:pt>
                <c:pt idx="13">
                  <c:v>0.50591128241255723</c:v>
                </c:pt>
                <c:pt idx="14">
                  <c:v>0.50592947942823518</c:v>
                </c:pt>
                <c:pt idx="15">
                  <c:v>0.50533119913825852</c:v>
                </c:pt>
                <c:pt idx="16">
                  <c:v>0.5042505634489336</c:v>
                </c:pt>
                <c:pt idx="17">
                  <c:v>0.5028353141978622</c:v>
                </c:pt>
                <c:pt idx="18">
                  <c:v>0.50123197335927716</c:v>
                </c:pt>
                <c:pt idx="19">
                  <c:v>0.49957113011871307</c:v>
                </c:pt>
                <c:pt idx="20">
                  <c:v>0.49795652864262413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BDB-4AB8-97A2-333D1ECE5228}"/>
            </c:ext>
          </c:extLst>
        </c:ser>
        <c:ser>
          <c:idx val="10"/>
          <c:order val="10"/>
          <c:tx>
            <c:strRef>
              <c:f>'CC examples - SME'!$AF$38</c:f>
              <c:strCache>
                <c:ptCount val="1"/>
                <c:pt idx="0">
                  <c:v>201209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SME'!$AF$39:$AF$59</c:f>
              <c:numCache>
                <c:formatCode>0%</c:formatCode>
                <c:ptCount val="21"/>
                <c:pt idx="0">
                  <c:v>0.53667061343519706</c:v>
                </c:pt>
                <c:pt idx="1">
                  <c:v>0.53891961579752623</c:v>
                </c:pt>
                <c:pt idx="2">
                  <c:v>0.54077770036325101</c:v>
                </c:pt>
                <c:pt idx="3">
                  <c:v>0.54218374309371431</c:v>
                </c:pt>
                <c:pt idx="4">
                  <c:v>0.54309467747200968</c:v>
                </c:pt>
                <c:pt idx="5">
                  <c:v>0.54348257816923962</c:v>
                </c:pt>
                <c:pt idx="6">
                  <c:v>0.54333457196054002</c:v>
                </c:pt>
                <c:pt idx="7">
                  <c:v>0.54265103868295084</c:v>
                </c:pt>
                <c:pt idx="8">
                  <c:v>0.54144259235773007</c:v>
                </c:pt>
                <c:pt idx="9">
                  <c:v>0.53972656950829001</c:v>
                </c:pt>
                <c:pt idx="10">
                  <c:v>0.53752397014053299</c:v>
                </c:pt>
                <c:pt idx="11">
                  <c:v>0.53485787889273639</c:v>
                </c:pt>
                <c:pt idx="12">
                  <c:v>0.53175419903278576</c:v>
                </c:pt>
                <c:pt idx="13">
                  <c:v>0.52824494145736633</c:v>
                </c:pt>
                <c:pt idx="14">
                  <c:v>0.52437333261313868</c:v>
                </c:pt>
                <c:pt idx="15">
                  <c:v>0.52019891047221445</c:v>
                </c:pt>
                <c:pt idx="16">
                  <c:v>0.51580013137091496</c:v>
                </c:pt>
                <c:pt idx="17">
                  <c:v>0.5112724168117383</c:v>
                </c:pt>
                <c:pt idx="18">
                  <c:v>0.50672116006703316</c:v>
                </c:pt>
                <c:pt idx="19">
                  <c:v>0.50225130478251911</c:v>
                </c:pt>
                <c:pt idx="20">
                  <c:v>0.49795652864262424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BDB-4AB8-97A2-333D1ECE5228}"/>
            </c:ext>
          </c:extLst>
        </c:ser>
        <c:ser>
          <c:idx val="11"/>
          <c:order val="11"/>
          <c:tx>
            <c:strRef>
              <c:f>'CC examples - SME'!$AG$38</c:f>
              <c:strCache>
                <c:ptCount val="1"/>
                <c:pt idx="0">
                  <c:v>201212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SME'!$AG$39:$AG$59</c:f>
              <c:numCache>
                <c:formatCode>0%</c:formatCode>
                <c:ptCount val="21"/>
                <c:pt idx="0">
                  <c:v>0.68131612726873469</c:v>
                </c:pt>
                <c:pt idx="1">
                  <c:v>0.67028463390844195</c:v>
                </c:pt>
                <c:pt idx="2">
                  <c:v>0.6589541337054643</c:v>
                </c:pt>
                <c:pt idx="3">
                  <c:v>0.6474887143941217</c:v>
                </c:pt>
                <c:pt idx="4">
                  <c:v>0.63603211727394204</c:v>
                </c:pt>
                <c:pt idx="5">
                  <c:v>0.62472054977393943</c:v>
                </c:pt>
                <c:pt idx="6">
                  <c:v>0.61367532627654764</c:v>
                </c:pt>
                <c:pt idx="7">
                  <c:v>0.60299675866481173</c:v>
                </c:pt>
                <c:pt idx="8">
                  <c:v>0.59275916299229503</c:v>
                </c:pt>
                <c:pt idx="9">
                  <c:v>0.58300706617514897</c:v>
                </c:pt>
                <c:pt idx="10">
                  <c:v>0.57375297304070672</c:v>
                </c:pt>
                <c:pt idx="11">
                  <c:v>0.56497735719564335</c:v>
                </c:pt>
                <c:pt idx="12">
                  <c:v>0.55663175179100932</c:v>
                </c:pt>
                <c:pt idx="13">
                  <c:v>0.54864573770403768</c:v>
                </c:pt>
                <c:pt idx="14">
                  <c:v>0.54093804056048167</c:v>
                </c:pt>
                <c:pt idx="15">
                  <c:v>0.5334307822000357</c:v>
                </c:pt>
                <c:pt idx="16">
                  <c:v>0.52606445890207432</c:v>
                </c:pt>
                <c:pt idx="17">
                  <c:v>0.51881011848479064</c:v>
                </c:pt>
                <c:pt idx="18">
                  <c:v>0.51167529092151653</c:v>
                </c:pt>
                <c:pt idx="19">
                  <c:v>0.50470184391620332</c:v>
                </c:pt>
                <c:pt idx="20">
                  <c:v>0.49795652864262424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BDB-4AB8-97A2-333D1ECE5228}"/>
            </c:ext>
          </c:extLst>
        </c:ser>
        <c:ser>
          <c:idx val="12"/>
          <c:order val="12"/>
          <c:tx>
            <c:strRef>
              <c:f>'CC examples - SME'!$AH$38</c:f>
              <c:strCache>
                <c:ptCount val="1"/>
                <c:pt idx="0">
                  <c:v>201303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SME'!$AH$39:$AH$59</c:f>
              <c:numCache>
                <c:formatCode>0%</c:formatCode>
                <c:ptCount val="21"/>
                <c:pt idx="0">
                  <c:v>0.61030433028184561</c:v>
                </c:pt>
                <c:pt idx="1">
                  <c:v>0.60382316284089044</c:v>
                </c:pt>
                <c:pt idx="2">
                  <c:v>0.5974622511689871</c:v>
                </c:pt>
                <c:pt idx="3">
                  <c:v>0.59132280191776276</c:v>
                </c:pt>
                <c:pt idx="4">
                  <c:v>0.5854669262822928</c:v>
                </c:pt>
                <c:pt idx="5">
                  <c:v>0.57993304024415326</c:v>
                </c:pt>
                <c:pt idx="6">
                  <c:v>0.57473648186666937</c:v>
                </c:pt>
                <c:pt idx="7">
                  <c:v>0.56986902574195075</c:v>
                </c:pt>
                <c:pt idx="8">
                  <c:v>0.56529780375434946</c:v>
                </c:pt>
                <c:pt idx="9">
                  <c:v>0.56096413800502654</c:v>
                </c:pt>
                <c:pt idx="10">
                  <c:v>0.55678292274452379</c:v>
                </c:pt>
                <c:pt idx="11">
                  <c:v>0.55264343903375501</c:v>
                </c:pt>
                <c:pt idx="12">
                  <c:v>0.54841277500329777</c:v>
                </c:pt>
                <c:pt idx="13">
                  <c:v>0.54394320267562057</c:v>
                </c:pt>
                <c:pt idx="14">
                  <c:v>0.53908468496907314</c:v>
                </c:pt>
                <c:pt idx="15">
                  <c:v>0.53370285950697416</c:v>
                </c:pt>
                <c:pt idx="16">
                  <c:v>0.52770117477308898</c:v>
                </c:pt>
                <c:pt idx="17">
                  <c:v>0.52104351946333849</c:v>
                </c:pt>
                <c:pt idx="18">
                  <c:v>0.51377151249270314</c:v>
                </c:pt>
                <c:pt idx="19">
                  <c:v>0.50601000581204414</c:v>
                </c:pt>
                <c:pt idx="20">
                  <c:v>0.49795652864262424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BDB-4AB8-97A2-333D1ECE5228}"/>
            </c:ext>
          </c:extLst>
        </c:ser>
        <c:ser>
          <c:idx val="13"/>
          <c:order val="13"/>
          <c:tx>
            <c:strRef>
              <c:f>'CC examples - SME'!$AI$38</c:f>
              <c:strCache>
                <c:ptCount val="1"/>
                <c:pt idx="0">
                  <c:v>201306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SME'!$AI$39:$AI$59</c:f>
              <c:numCache>
                <c:formatCode>0%</c:formatCode>
                <c:ptCount val="21"/>
                <c:pt idx="0">
                  <c:v>0.41322360734066027</c:v>
                </c:pt>
                <c:pt idx="1">
                  <c:v>0.42403139421882469</c:v>
                </c:pt>
                <c:pt idx="2">
                  <c:v>0.43524819491264927</c:v>
                </c:pt>
                <c:pt idx="3">
                  <c:v>0.44660663245749066</c:v>
                </c:pt>
                <c:pt idx="4">
                  <c:v>0.45788641037866307</c:v>
                </c:pt>
                <c:pt idx="5">
                  <c:v>0.46888687245529737</c:v>
                </c:pt>
                <c:pt idx="6">
                  <c:v>0.47942219172588418</c:v>
                </c:pt>
                <c:pt idx="7">
                  <c:v>0.48931792596193563</c:v>
                </c:pt>
                <c:pt idx="8">
                  <c:v>0.49840876040980059</c:v>
                </c:pt>
                <c:pt idx="9">
                  <c:v>0.50653711159460879</c:v>
                </c:pt>
                <c:pt idx="10">
                  <c:v>0.5135521171594194</c:v>
                </c:pt>
                <c:pt idx="11">
                  <c:v>0.51930857817919873</c:v>
                </c:pt>
                <c:pt idx="12">
                  <c:v>0.52366586016358596</c:v>
                </c:pt>
                <c:pt idx="13">
                  <c:v>0.52648772491935669</c:v>
                </c:pt>
                <c:pt idx="14">
                  <c:v>0.52764544896114429</c:v>
                </c:pt>
                <c:pt idx="15">
                  <c:v>0.52702784821182502</c:v>
                </c:pt>
                <c:pt idx="16">
                  <c:v>0.52456187573545954</c:v>
                </c:pt>
                <c:pt idx="17">
                  <c:v>0.52024481829162972</c:v>
                </c:pt>
                <c:pt idx="18">
                  <c:v>0.51418288480793084</c:v>
                </c:pt>
                <c:pt idx="19">
                  <c:v>0.50662263910050254</c:v>
                </c:pt>
                <c:pt idx="20">
                  <c:v>0.49795652864262402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BDB-4AB8-97A2-333D1ECE5228}"/>
            </c:ext>
          </c:extLst>
        </c:ser>
        <c:ser>
          <c:idx val="14"/>
          <c:order val="14"/>
          <c:tx>
            <c:strRef>
              <c:f>'CC examples - SME'!$AJ$38</c:f>
              <c:strCache>
                <c:ptCount val="1"/>
                <c:pt idx="0">
                  <c:v>201309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SME'!$AJ$39:$AJ$59</c:f>
              <c:numCache>
                <c:formatCode>0%</c:formatCode>
                <c:ptCount val="21"/>
                <c:pt idx="0">
                  <c:v>0.42886920532301359</c:v>
                </c:pt>
                <c:pt idx="1">
                  <c:v>0.44159149309014806</c:v>
                </c:pt>
                <c:pt idx="2">
                  <c:v>0.45346316007137044</c:v>
                </c:pt>
                <c:pt idx="3">
                  <c:v>0.46456199484091348</c:v>
                </c:pt>
                <c:pt idx="4">
                  <c:v>0.47494355230935292</c:v>
                </c:pt>
                <c:pt idx="5">
                  <c:v>0.48462367228834635</c:v>
                </c:pt>
                <c:pt idx="6">
                  <c:v>0.49358679028618552</c:v>
                </c:pt>
                <c:pt idx="7">
                  <c:v>0.50179360179119425</c:v>
                </c:pt>
                <c:pt idx="8">
                  <c:v>0.50918768597502773</c:v>
                </c:pt>
                <c:pt idx="9">
                  <c:v>0.51570037370635968</c:v>
                </c:pt>
                <c:pt idx="10">
                  <c:v>0.52125298678338428</c:v>
                </c:pt>
                <c:pt idx="11">
                  <c:v>0.52575570589527865</c:v>
                </c:pt>
                <c:pt idx="12">
                  <c:v>0.52910294103226407</c:v>
                </c:pt>
                <c:pt idx="13">
                  <c:v>0.53116643639011762</c:v>
                </c:pt>
                <c:pt idx="14">
                  <c:v>0.53178967078566053</c:v>
                </c:pt>
                <c:pt idx="15">
                  <c:v>0.5307903186339249</c:v>
                </c:pt>
                <c:pt idx="16">
                  <c:v>0.52798051540714508</c:v>
                </c:pt>
                <c:pt idx="17">
                  <c:v>0.52321436622451467</c:v>
                </c:pt>
                <c:pt idx="18">
                  <c:v>0.51646354922247151</c:v>
                </c:pt>
                <c:pt idx="19">
                  <c:v>0.50790192920109611</c:v>
                </c:pt>
                <c:pt idx="20">
                  <c:v>0.49795652864262424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BDB-4AB8-97A2-333D1ECE5228}"/>
            </c:ext>
          </c:extLst>
        </c:ser>
        <c:ser>
          <c:idx val="15"/>
          <c:order val="15"/>
          <c:tx>
            <c:strRef>
              <c:f>'CC examples - SME'!$AK$38</c:f>
              <c:strCache>
                <c:ptCount val="1"/>
                <c:pt idx="0">
                  <c:v>201312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SME'!$AK$39:$AK$59</c:f>
              <c:numCache>
                <c:formatCode>0%</c:formatCode>
                <c:ptCount val="21"/>
                <c:pt idx="0">
                  <c:v>0.70358711916995809</c:v>
                </c:pt>
                <c:pt idx="1">
                  <c:v>0.68428779150721564</c:v>
                </c:pt>
                <c:pt idx="2">
                  <c:v>0.66664384408685917</c:v>
                </c:pt>
                <c:pt idx="3">
                  <c:v>0.65057326149037731</c:v>
                </c:pt>
                <c:pt idx="4">
                  <c:v>0.63597879840212324</c:v>
                </c:pt>
                <c:pt idx="5">
                  <c:v>0.62277825925428221</c:v>
                </c:pt>
                <c:pt idx="6">
                  <c:v>0.61089529070524717</c:v>
                </c:pt>
                <c:pt idx="7">
                  <c:v>0.60025153642603069</c:v>
                </c:pt>
                <c:pt idx="8">
                  <c:v>0.59076006371253298</c:v>
                </c:pt>
                <c:pt idx="9">
                  <c:v>0.58231953349333654</c:v>
                </c:pt>
                <c:pt idx="10">
                  <c:v>0.5748082039841329</c:v>
                </c:pt>
                <c:pt idx="11">
                  <c:v>0.56807662841253537</c:v>
                </c:pt>
                <c:pt idx="12">
                  <c:v>0.56193804541489822</c:v>
                </c:pt>
                <c:pt idx="13">
                  <c:v>0.55615639289837471</c:v>
                </c:pt>
                <c:pt idx="14">
                  <c:v>0.5504343066017956</c:v>
                </c:pt>
                <c:pt idx="15">
                  <c:v>0.54440819373548743</c:v>
                </c:pt>
                <c:pt idx="16">
                  <c:v>0.53766437819402813</c:v>
                </c:pt>
                <c:pt idx="17">
                  <c:v>0.52979575146476343</c:v>
                </c:pt>
                <c:pt idx="18">
                  <c:v>0.52051200461805824</c:v>
                </c:pt>
                <c:pt idx="19">
                  <c:v>0.50978478780147851</c:v>
                </c:pt>
                <c:pt idx="20">
                  <c:v>0.49795652864262402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BDB-4AB8-97A2-333D1ECE5228}"/>
            </c:ext>
          </c:extLst>
        </c:ser>
        <c:ser>
          <c:idx val="16"/>
          <c:order val="16"/>
          <c:tx>
            <c:strRef>
              <c:f>'CC examples - SME'!$AL$38</c:f>
              <c:strCache>
                <c:ptCount val="1"/>
                <c:pt idx="0">
                  <c:v>201403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SME'!$AL$39:$AL$59</c:f>
              <c:numCache>
                <c:formatCode>0%</c:formatCode>
                <c:ptCount val="21"/>
                <c:pt idx="0">
                  <c:v>0.57100550107732528</c:v>
                </c:pt>
                <c:pt idx="1">
                  <c:v>0.5756934177563543</c:v>
                </c:pt>
                <c:pt idx="2">
                  <c:v>0.57843487274759298</c:v>
                </c:pt>
                <c:pt idx="3">
                  <c:v>0.57952456980921396</c:v>
                </c:pt>
                <c:pt idx="4">
                  <c:v>0.5792530927287981</c:v>
                </c:pt>
                <c:pt idx="5">
                  <c:v>0.57789375688012845</c:v>
                </c:pt>
                <c:pt idx="6">
                  <c:v>0.57569905989769377</c:v>
                </c:pt>
                <c:pt idx="7">
                  <c:v>0.57289637304002805</c:v>
                </c:pt>
                <c:pt idx="8">
                  <c:v>0.56968337921210743</c:v>
                </c:pt>
                <c:pt idx="9">
                  <c:v>0.56622312292936272</c:v>
                </c:pt>
                <c:pt idx="10">
                  <c:v>0.56263792143868974</c:v>
                </c:pt>
                <c:pt idx="11">
                  <c:v>0.55900081699674997</c:v>
                </c:pt>
                <c:pt idx="12">
                  <c:v>0.55532290194571099</c:v>
                </c:pt>
                <c:pt idx="13">
                  <c:v>0.55153524326303305</c:v>
                </c:pt>
                <c:pt idx="14">
                  <c:v>0.54746644516406295</c:v>
                </c:pt>
                <c:pt idx="15">
                  <c:v>0.54282311126202276</c:v>
                </c:pt>
                <c:pt idx="16">
                  <c:v>0.53719240643022692</c:v>
                </c:pt>
                <c:pt idx="17">
                  <c:v>0.53010058197484278</c:v>
                </c:pt>
                <c:pt idx="18">
                  <c:v>0.52116160913146081</c:v>
                </c:pt>
                <c:pt idx="19">
                  <c:v>0.51030322738473288</c:v>
                </c:pt>
                <c:pt idx="20">
                  <c:v>0.49795652864262402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BDB-4AB8-97A2-333D1ECE5228}"/>
            </c:ext>
          </c:extLst>
        </c:ser>
        <c:ser>
          <c:idx val="17"/>
          <c:order val="17"/>
          <c:tx>
            <c:strRef>
              <c:f>'CC examples - SME'!$AM$38</c:f>
              <c:strCache>
                <c:ptCount val="1"/>
                <c:pt idx="0">
                  <c:v>201406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SME'!$AM$39:$AM$59</c:f>
              <c:numCache>
                <c:formatCode>0%</c:formatCode>
                <c:ptCount val="21"/>
                <c:pt idx="0">
                  <c:v>0.55733778972463943</c:v>
                </c:pt>
                <c:pt idx="1">
                  <c:v>0.55499587883857548</c:v>
                </c:pt>
                <c:pt idx="2">
                  <c:v>0.55328436641810053</c:v>
                </c:pt>
                <c:pt idx="3">
                  <c:v>0.55200390434569824</c:v>
                </c:pt>
                <c:pt idx="4">
                  <c:v>0.55099197893787977</c:v>
                </c:pt>
                <c:pt idx="5">
                  <c:v>0.55012526380075188</c:v>
                </c:pt>
                <c:pt idx="6">
                  <c:v>0.54931547467572384</c:v>
                </c:pt>
                <c:pt idx="7">
                  <c:v>0.54850444735194037</c:v>
                </c:pt>
                <c:pt idx="8">
                  <c:v>0.54765833082369486</c:v>
                </c:pt>
                <c:pt idx="9">
                  <c:v>0.54676041361527783</c:v>
                </c:pt>
                <c:pt idx="10">
                  <c:v>0.54580160113804832</c:v>
                </c:pt>
                <c:pt idx="11">
                  <c:v>0.54476687824537418</c:v>
                </c:pt>
                <c:pt idx="12">
                  <c:v>0.54361531815822517</c:v>
                </c:pt>
                <c:pt idx="13">
                  <c:v>0.54225088136857991</c:v>
                </c:pt>
                <c:pt idx="14">
                  <c:v>0.54048298561918928</c:v>
                </c:pt>
                <c:pt idx="15">
                  <c:v>0.5379830656275626</c:v>
                </c:pt>
                <c:pt idx="16">
                  <c:v>0.53426089983106495</c:v>
                </c:pt>
                <c:pt idx="17">
                  <c:v>0.52871195143107119</c:v>
                </c:pt>
                <c:pt idx="18">
                  <c:v>0.52079986927958932</c:v>
                </c:pt>
                <c:pt idx="19">
                  <c:v>0.51037465977174035</c:v>
                </c:pt>
                <c:pt idx="20">
                  <c:v>0.49795652864262413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BDB-4AB8-97A2-333D1ECE5228}"/>
            </c:ext>
          </c:extLst>
        </c:ser>
        <c:ser>
          <c:idx val="18"/>
          <c:order val="18"/>
          <c:tx>
            <c:strRef>
              <c:f>'CC examples - SME'!$AN$38</c:f>
              <c:strCache>
                <c:ptCount val="1"/>
                <c:pt idx="0">
                  <c:v>201409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SME'!$AN$39:$AN$59</c:f>
              <c:numCache>
                <c:formatCode>0%</c:formatCode>
                <c:ptCount val="21"/>
                <c:pt idx="0">
                  <c:v>0.49170944554384621</c:v>
                </c:pt>
                <c:pt idx="1">
                  <c:v>0.49467386951810827</c:v>
                </c:pt>
                <c:pt idx="2">
                  <c:v>0.49753913087105522</c:v>
                </c:pt>
                <c:pt idx="3">
                  <c:v>0.50038143242770483</c:v>
                </c:pt>
                <c:pt idx="4">
                  <c:v>0.50324239504540735</c:v>
                </c:pt>
                <c:pt idx="5">
                  <c:v>0.50613473196036929</c:v>
                </c:pt>
                <c:pt idx="6">
                  <c:v>0.50905144872467734</c:v>
                </c:pt>
                <c:pt idx="7">
                  <c:v>0.51197315583023451</c:v>
                </c:pt>
                <c:pt idx="8">
                  <c:v>0.5148735733219979</c:v>
                </c:pt>
                <c:pt idx="9">
                  <c:v>0.51772272580202106</c:v>
                </c:pt>
                <c:pt idx="10">
                  <c:v>0.52048661743602864</c:v>
                </c:pt>
                <c:pt idx="11">
                  <c:v>0.52312117938069425</c:v>
                </c:pt>
                <c:pt idx="12">
                  <c:v>0.5255569602316702</c:v>
                </c:pt>
                <c:pt idx="13">
                  <c:v>0.52766985482773909</c:v>
                </c:pt>
                <c:pt idx="14">
                  <c:v>0.52923406593057765</c:v>
                </c:pt>
                <c:pt idx="15">
                  <c:v>0.52986147085686175</c:v>
                </c:pt>
                <c:pt idx="16">
                  <c:v>0.52895521434919512</c:v>
                </c:pt>
                <c:pt idx="17">
                  <c:v>0.52574824114983099</c:v>
                </c:pt>
                <c:pt idx="18">
                  <c:v>0.51952679295012938</c:v>
                </c:pt>
                <c:pt idx="19">
                  <c:v>0.51005459652346019</c:v>
                </c:pt>
                <c:pt idx="20">
                  <c:v>0.49795652864262391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BDB-4AB8-97A2-333D1ECE5228}"/>
            </c:ext>
          </c:extLst>
        </c:ser>
        <c:ser>
          <c:idx val="19"/>
          <c:order val="19"/>
          <c:tx>
            <c:strRef>
              <c:f>'CC examples - SME'!$AO$38</c:f>
              <c:strCache>
                <c:ptCount val="1"/>
                <c:pt idx="0">
                  <c:v>201412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'CC examples - SME'!$S$39:$S$59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SME'!$AO$39:$AO$59</c:f>
              <c:numCache>
                <c:formatCode>0%</c:formatCode>
                <c:ptCount val="21"/>
                <c:pt idx="0">
                  <c:v>0.48962429687751502</c:v>
                </c:pt>
                <c:pt idx="1">
                  <c:v>0.4898859647523518</c:v>
                </c:pt>
                <c:pt idx="2">
                  <c:v>0.49047771132219176</c:v>
                </c:pt>
                <c:pt idx="3">
                  <c:v>0.4914230519539402</c:v>
                </c:pt>
                <c:pt idx="4">
                  <c:v>0.49274646353358653</c:v>
                </c:pt>
                <c:pt idx="5">
                  <c:v>0.49446607366305678</c:v>
                </c:pt>
                <c:pt idx="6">
                  <c:v>0.4965882972750843</c:v>
                </c:pt>
                <c:pt idx="7">
                  <c:v>0.49910447208757602</c:v>
                </c:pt>
                <c:pt idx="8">
                  <c:v>0.50198934370926107</c:v>
                </c:pt>
                <c:pt idx="9">
                  <c:v>0.50520064452118518</c:v>
                </c:pt>
                <c:pt idx="10">
                  <c:v>0.50867810614181819</c:v>
                </c:pt>
                <c:pt idx="11">
                  <c:v>0.51233890166335438</c:v>
                </c:pt>
                <c:pt idx="12">
                  <c:v>0.51606466280301888</c:v>
                </c:pt>
                <c:pt idx="13">
                  <c:v>0.51967331962507413</c:v>
                </c:pt>
                <c:pt idx="14">
                  <c:v>0.52286927942446981</c:v>
                </c:pt>
                <c:pt idx="15">
                  <c:v>0.52517413888587638</c:v>
                </c:pt>
                <c:pt idx="16">
                  <c:v>0.52586871299351068</c:v>
                </c:pt>
                <c:pt idx="17">
                  <c:v>0.52403185989187073</c:v>
                </c:pt>
                <c:pt idx="18">
                  <c:v>0.51880132775107868</c:v>
                </c:pt>
                <c:pt idx="19">
                  <c:v>0.50987605148219928</c:v>
                </c:pt>
                <c:pt idx="20">
                  <c:v>0.49795652864262413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BDB-4AB8-97A2-333D1ECE5228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78502128"/>
        <c:axId val="1178499632"/>
        <c:axId val="1247355168"/>
      </c:surface3DChart>
      <c:catAx>
        <c:axId val="117850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99632"/>
        <c:crosses val="autoZero"/>
        <c:auto val="1"/>
        <c:lblAlgn val="ctr"/>
        <c:lblOffset val="100"/>
        <c:noMultiLvlLbl val="0"/>
      </c:catAx>
      <c:valAx>
        <c:axId val="117849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502128"/>
        <c:crosses val="autoZero"/>
        <c:crossBetween val="midCat"/>
      </c:valAx>
      <c:serAx>
        <c:axId val="12473551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9963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'CL Example'!$A$27</c:f>
              <c:strCache>
                <c:ptCount val="1"/>
                <c:pt idx="0">
                  <c:v>% to Ult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'CL Example'!$B$27:$U$27</c:f>
              <c:numCache>
                <c:formatCode>0%</c:formatCode>
                <c:ptCount val="20"/>
                <c:pt idx="0">
                  <c:v>0.70852236400063762</c:v>
                </c:pt>
                <c:pt idx="1">
                  <c:v>1.0401053977100547</c:v>
                </c:pt>
                <c:pt idx="2">
                  <c:v>1.0460853529098213</c:v>
                </c:pt>
                <c:pt idx="3">
                  <c:v>1.0364420733806157</c:v>
                </c:pt>
                <c:pt idx="4">
                  <c:v>1.0308604440914018</c:v>
                </c:pt>
                <c:pt idx="5">
                  <c:v>1.0220717607054832</c:v>
                </c:pt>
                <c:pt idx="6">
                  <c:v>1.0139368238511293</c:v>
                </c:pt>
                <c:pt idx="7">
                  <c:v>1.0094345395889015</c:v>
                </c:pt>
                <c:pt idx="8">
                  <c:v>1.006813954047467</c:v>
                </c:pt>
                <c:pt idx="9">
                  <c:v>1.0062174934717345</c:v>
                </c:pt>
                <c:pt idx="10">
                  <c:v>1.0043006822317593</c:v>
                </c:pt>
                <c:pt idx="11">
                  <c:v>1.0045248985413049</c:v>
                </c:pt>
                <c:pt idx="12">
                  <c:v>1.0025034888787678</c:v>
                </c:pt>
                <c:pt idx="13">
                  <c:v>1.001606441285352</c:v>
                </c:pt>
                <c:pt idx="14">
                  <c:v>1.0009779258364087</c:v>
                </c:pt>
                <c:pt idx="15">
                  <c:v>1.0001962039705887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6-4D25-9560-39E1526EE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7343440"/>
        <c:axId val="2047353008"/>
      </c:lineChart>
      <c:catAx>
        <c:axId val="2047343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353008"/>
        <c:crosses val="autoZero"/>
        <c:auto val="1"/>
        <c:lblAlgn val="ctr"/>
        <c:lblOffset val="100"/>
        <c:noMultiLvlLbl val="0"/>
      </c:catAx>
      <c:valAx>
        <c:axId val="204735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34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'CL Example'!$N$30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'CL Example'!$B$31:$B$50</c:f>
              <c:strCache>
                <c:ptCount val="20"/>
                <c:pt idx="0">
                  <c:v>201003</c:v>
                </c:pt>
                <c:pt idx="1">
                  <c:v>201006</c:v>
                </c:pt>
                <c:pt idx="2">
                  <c:v>201009</c:v>
                </c:pt>
                <c:pt idx="3">
                  <c:v>201012</c:v>
                </c:pt>
                <c:pt idx="4">
                  <c:v>201103</c:v>
                </c:pt>
                <c:pt idx="5">
                  <c:v>201106</c:v>
                </c:pt>
                <c:pt idx="6">
                  <c:v>201109</c:v>
                </c:pt>
                <c:pt idx="7">
                  <c:v>201112</c:v>
                </c:pt>
                <c:pt idx="8">
                  <c:v>201203</c:v>
                </c:pt>
                <c:pt idx="9">
                  <c:v>201206</c:v>
                </c:pt>
                <c:pt idx="10">
                  <c:v>201209</c:v>
                </c:pt>
                <c:pt idx="11">
                  <c:v>201212</c:v>
                </c:pt>
                <c:pt idx="12">
                  <c:v>201303</c:v>
                </c:pt>
                <c:pt idx="13">
                  <c:v>201306</c:v>
                </c:pt>
                <c:pt idx="14">
                  <c:v>201309</c:v>
                </c:pt>
                <c:pt idx="15">
                  <c:v>201312</c:v>
                </c:pt>
                <c:pt idx="16">
                  <c:v>201403</c:v>
                </c:pt>
                <c:pt idx="17">
                  <c:v>201406</c:v>
                </c:pt>
                <c:pt idx="18">
                  <c:v>201409</c:v>
                </c:pt>
                <c:pt idx="19">
                  <c:v>201412</c:v>
                </c:pt>
              </c:strCache>
            </c:strRef>
          </c:cat>
          <c:val>
            <c:numRef>
              <c:f>'CL Example'!$N$31:$N$50</c:f>
              <c:numCache>
                <c:formatCode>0%</c:formatCode>
                <c:ptCount val="20"/>
                <c:pt idx="0">
                  <c:v>1.0000000000000019E-19</c:v>
                </c:pt>
                <c:pt idx="1">
                  <c:v>1.0000000000000018E-18</c:v>
                </c:pt>
                <c:pt idx="2">
                  <c:v>1.0000000000000018E-17</c:v>
                </c:pt>
                <c:pt idx="3">
                  <c:v>1.0000000000000017E-16</c:v>
                </c:pt>
                <c:pt idx="4">
                  <c:v>1.0000000000000017E-15</c:v>
                </c:pt>
                <c:pt idx="5">
                  <c:v>1.0000000000000014E-14</c:v>
                </c:pt>
                <c:pt idx="6">
                  <c:v>1.0000000000000014E-13</c:v>
                </c:pt>
                <c:pt idx="7">
                  <c:v>1.0000000000000014E-12</c:v>
                </c:pt>
                <c:pt idx="8">
                  <c:v>1.0000000000000011E-11</c:v>
                </c:pt>
                <c:pt idx="9">
                  <c:v>1.0000000000000011E-10</c:v>
                </c:pt>
                <c:pt idx="10">
                  <c:v>1.0000000000000009E-9</c:v>
                </c:pt>
                <c:pt idx="11">
                  <c:v>1.0000000000000008E-8</c:v>
                </c:pt>
                <c:pt idx="12">
                  <c:v>1.0000000000000007E-7</c:v>
                </c:pt>
                <c:pt idx="13">
                  <c:v>1.0000000000000006E-6</c:v>
                </c:pt>
                <c:pt idx="14">
                  <c:v>1.0000000000000006E-5</c:v>
                </c:pt>
                <c:pt idx="15">
                  <c:v>1.0000000000000005E-4</c:v>
                </c:pt>
                <c:pt idx="16">
                  <c:v>1.0000000000000002E-3</c:v>
                </c:pt>
                <c:pt idx="17">
                  <c:v>1.0000000000000002E-2</c:v>
                </c:pt>
                <c:pt idx="18">
                  <c:v>0.1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7D-4E3A-905E-1F97B26EBD52}"/>
            </c:ext>
          </c:extLst>
        </c:ser>
        <c:ser>
          <c:idx val="1"/>
          <c:order val="1"/>
          <c:tx>
            <c:strRef>
              <c:f>'CL Example'!$O$30</c:f>
              <c:strCache>
                <c:ptCount val="1"/>
                <c:pt idx="0">
                  <c:v>30%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'CL Example'!$B$31:$B$50</c:f>
              <c:strCache>
                <c:ptCount val="20"/>
                <c:pt idx="0">
                  <c:v>201003</c:v>
                </c:pt>
                <c:pt idx="1">
                  <c:v>201006</c:v>
                </c:pt>
                <c:pt idx="2">
                  <c:v>201009</c:v>
                </c:pt>
                <c:pt idx="3">
                  <c:v>201012</c:v>
                </c:pt>
                <c:pt idx="4">
                  <c:v>201103</c:v>
                </c:pt>
                <c:pt idx="5">
                  <c:v>201106</c:v>
                </c:pt>
                <c:pt idx="6">
                  <c:v>201109</c:v>
                </c:pt>
                <c:pt idx="7">
                  <c:v>201112</c:v>
                </c:pt>
                <c:pt idx="8">
                  <c:v>201203</c:v>
                </c:pt>
                <c:pt idx="9">
                  <c:v>201206</c:v>
                </c:pt>
                <c:pt idx="10">
                  <c:v>201209</c:v>
                </c:pt>
                <c:pt idx="11">
                  <c:v>201212</c:v>
                </c:pt>
                <c:pt idx="12">
                  <c:v>201303</c:v>
                </c:pt>
                <c:pt idx="13">
                  <c:v>201306</c:v>
                </c:pt>
                <c:pt idx="14">
                  <c:v>201309</c:v>
                </c:pt>
                <c:pt idx="15">
                  <c:v>201312</c:v>
                </c:pt>
                <c:pt idx="16">
                  <c:v>201403</c:v>
                </c:pt>
                <c:pt idx="17">
                  <c:v>201406</c:v>
                </c:pt>
                <c:pt idx="18">
                  <c:v>201409</c:v>
                </c:pt>
                <c:pt idx="19">
                  <c:v>201412</c:v>
                </c:pt>
              </c:strCache>
            </c:strRef>
          </c:cat>
          <c:val>
            <c:numRef>
              <c:f>'CL Example'!$O$31:$O$50</c:f>
              <c:numCache>
                <c:formatCode>0%</c:formatCode>
                <c:ptCount val="20"/>
                <c:pt idx="0">
                  <c:v>1.1622614669999996E-10</c:v>
                </c:pt>
                <c:pt idx="1">
                  <c:v>3.8742048899999985E-10</c:v>
                </c:pt>
                <c:pt idx="2">
                  <c:v>1.2914016299999995E-9</c:v>
                </c:pt>
                <c:pt idx="3">
                  <c:v>4.3046720999999984E-9</c:v>
                </c:pt>
                <c:pt idx="4">
                  <c:v>1.4348906999999997E-8</c:v>
                </c:pt>
                <c:pt idx="5">
                  <c:v>4.7829689999999986E-8</c:v>
                </c:pt>
                <c:pt idx="6">
                  <c:v>1.5943229999999997E-7</c:v>
                </c:pt>
                <c:pt idx="7">
                  <c:v>5.3144099999999987E-7</c:v>
                </c:pt>
                <c:pt idx="8">
                  <c:v>1.7714699999999997E-6</c:v>
                </c:pt>
                <c:pt idx="9">
                  <c:v>5.9048999999999991E-6</c:v>
                </c:pt>
                <c:pt idx="10">
                  <c:v>1.9682999999999998E-5</c:v>
                </c:pt>
                <c:pt idx="11">
                  <c:v>6.560999999999999E-5</c:v>
                </c:pt>
                <c:pt idx="12">
                  <c:v>2.1869999999999998E-4</c:v>
                </c:pt>
                <c:pt idx="13">
                  <c:v>7.2899999999999994E-4</c:v>
                </c:pt>
                <c:pt idx="14">
                  <c:v>2.4299999999999999E-3</c:v>
                </c:pt>
                <c:pt idx="15">
                  <c:v>8.0999999999999996E-3</c:v>
                </c:pt>
                <c:pt idx="16">
                  <c:v>2.7E-2</c:v>
                </c:pt>
                <c:pt idx="17">
                  <c:v>0.09</c:v>
                </c:pt>
                <c:pt idx="18">
                  <c:v>0.3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7D-4E3A-905E-1F97B26EBD52}"/>
            </c:ext>
          </c:extLst>
        </c:ser>
        <c:ser>
          <c:idx val="2"/>
          <c:order val="2"/>
          <c:tx>
            <c:strRef>
              <c:f>'CL Example'!$P$30</c:f>
              <c:strCache>
                <c:ptCount val="1"/>
                <c:pt idx="0">
                  <c:v>75%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'CL Example'!$B$31:$B$50</c:f>
              <c:strCache>
                <c:ptCount val="20"/>
                <c:pt idx="0">
                  <c:v>201003</c:v>
                </c:pt>
                <c:pt idx="1">
                  <c:v>201006</c:v>
                </c:pt>
                <c:pt idx="2">
                  <c:v>201009</c:v>
                </c:pt>
                <c:pt idx="3">
                  <c:v>201012</c:v>
                </c:pt>
                <c:pt idx="4">
                  <c:v>201103</c:v>
                </c:pt>
                <c:pt idx="5">
                  <c:v>201106</c:v>
                </c:pt>
                <c:pt idx="6">
                  <c:v>201109</c:v>
                </c:pt>
                <c:pt idx="7">
                  <c:v>201112</c:v>
                </c:pt>
                <c:pt idx="8">
                  <c:v>201203</c:v>
                </c:pt>
                <c:pt idx="9">
                  <c:v>201206</c:v>
                </c:pt>
                <c:pt idx="10">
                  <c:v>201209</c:v>
                </c:pt>
                <c:pt idx="11">
                  <c:v>201212</c:v>
                </c:pt>
                <c:pt idx="12">
                  <c:v>201303</c:v>
                </c:pt>
                <c:pt idx="13">
                  <c:v>201306</c:v>
                </c:pt>
                <c:pt idx="14">
                  <c:v>201309</c:v>
                </c:pt>
                <c:pt idx="15">
                  <c:v>201312</c:v>
                </c:pt>
                <c:pt idx="16">
                  <c:v>201403</c:v>
                </c:pt>
                <c:pt idx="17">
                  <c:v>201406</c:v>
                </c:pt>
                <c:pt idx="18">
                  <c:v>201409</c:v>
                </c:pt>
                <c:pt idx="19">
                  <c:v>201412</c:v>
                </c:pt>
              </c:strCache>
            </c:strRef>
          </c:cat>
          <c:val>
            <c:numRef>
              <c:f>'CL Example'!$P$31:$P$50</c:f>
              <c:numCache>
                <c:formatCode>0%</c:formatCode>
                <c:ptCount val="20"/>
                <c:pt idx="0">
                  <c:v>4.2282825852453243E-3</c:v>
                </c:pt>
                <c:pt idx="1">
                  <c:v>5.6377101136604324E-3</c:v>
                </c:pt>
                <c:pt idx="2">
                  <c:v>7.5169468182139099E-3</c:v>
                </c:pt>
                <c:pt idx="3">
                  <c:v>1.0022595757618546E-2</c:v>
                </c:pt>
                <c:pt idx="4">
                  <c:v>1.3363461010158062E-2</c:v>
                </c:pt>
                <c:pt idx="5">
                  <c:v>1.7817948013544083E-2</c:v>
                </c:pt>
                <c:pt idx="6">
                  <c:v>2.3757264018058777E-2</c:v>
                </c:pt>
                <c:pt idx="7">
                  <c:v>3.1676352024078369E-2</c:v>
                </c:pt>
                <c:pt idx="8">
                  <c:v>4.2235136032104492E-2</c:v>
                </c:pt>
                <c:pt idx="9">
                  <c:v>5.6313514709472656E-2</c:v>
                </c:pt>
                <c:pt idx="10">
                  <c:v>7.5084686279296875E-2</c:v>
                </c:pt>
                <c:pt idx="11">
                  <c:v>0.1001129150390625</c:v>
                </c:pt>
                <c:pt idx="12">
                  <c:v>0.13348388671875</c:v>
                </c:pt>
                <c:pt idx="13">
                  <c:v>0.177978515625</c:v>
                </c:pt>
                <c:pt idx="14">
                  <c:v>0.2373046875</c:v>
                </c:pt>
                <c:pt idx="15">
                  <c:v>0.31640625</c:v>
                </c:pt>
                <c:pt idx="16">
                  <c:v>0.421875</c:v>
                </c:pt>
                <c:pt idx="17">
                  <c:v>0.5625</c:v>
                </c:pt>
                <c:pt idx="18">
                  <c:v>0.75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7D-4E3A-905E-1F97B26EBD52}"/>
            </c:ext>
          </c:extLst>
        </c:ser>
        <c:ser>
          <c:idx val="3"/>
          <c:order val="3"/>
          <c:tx>
            <c:strRef>
              <c:f>'CL Example'!$Q$30</c:f>
              <c:strCache>
                <c:ptCount val="1"/>
                <c:pt idx="0">
                  <c:v>95%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'CL Example'!$B$31:$B$50</c:f>
              <c:strCache>
                <c:ptCount val="20"/>
                <c:pt idx="0">
                  <c:v>201003</c:v>
                </c:pt>
                <c:pt idx="1">
                  <c:v>201006</c:v>
                </c:pt>
                <c:pt idx="2">
                  <c:v>201009</c:v>
                </c:pt>
                <c:pt idx="3">
                  <c:v>201012</c:v>
                </c:pt>
                <c:pt idx="4">
                  <c:v>201103</c:v>
                </c:pt>
                <c:pt idx="5">
                  <c:v>201106</c:v>
                </c:pt>
                <c:pt idx="6">
                  <c:v>201109</c:v>
                </c:pt>
                <c:pt idx="7">
                  <c:v>201112</c:v>
                </c:pt>
                <c:pt idx="8">
                  <c:v>201203</c:v>
                </c:pt>
                <c:pt idx="9">
                  <c:v>201206</c:v>
                </c:pt>
                <c:pt idx="10">
                  <c:v>201209</c:v>
                </c:pt>
                <c:pt idx="11">
                  <c:v>201212</c:v>
                </c:pt>
                <c:pt idx="12">
                  <c:v>201303</c:v>
                </c:pt>
                <c:pt idx="13">
                  <c:v>201306</c:v>
                </c:pt>
                <c:pt idx="14">
                  <c:v>201309</c:v>
                </c:pt>
                <c:pt idx="15">
                  <c:v>201312</c:v>
                </c:pt>
                <c:pt idx="16">
                  <c:v>201403</c:v>
                </c:pt>
                <c:pt idx="17">
                  <c:v>201406</c:v>
                </c:pt>
                <c:pt idx="18">
                  <c:v>201409</c:v>
                </c:pt>
                <c:pt idx="19">
                  <c:v>201412</c:v>
                </c:pt>
              </c:strCache>
            </c:strRef>
          </c:cat>
          <c:val>
            <c:numRef>
              <c:f>'CL Example'!$Q$31:$Q$50</c:f>
              <c:numCache>
                <c:formatCode>0%</c:formatCode>
                <c:ptCount val="20"/>
                <c:pt idx="0">
                  <c:v>0.37735360253530753</c:v>
                </c:pt>
                <c:pt idx="1">
                  <c:v>0.39721431845821847</c:v>
                </c:pt>
                <c:pt idx="2">
                  <c:v>0.41812033521917735</c:v>
                </c:pt>
                <c:pt idx="3">
                  <c:v>0.44012666865176564</c:v>
                </c:pt>
                <c:pt idx="4">
                  <c:v>0.46329123015975332</c:v>
                </c:pt>
                <c:pt idx="5">
                  <c:v>0.48767497911552976</c:v>
                </c:pt>
                <c:pt idx="6">
                  <c:v>0.51334208327950503</c:v>
                </c:pt>
                <c:pt idx="7">
                  <c:v>0.54036008766263688</c:v>
                </c:pt>
                <c:pt idx="8">
                  <c:v>0.56880009227645989</c:v>
                </c:pt>
                <c:pt idx="9">
                  <c:v>0.5987369392383789</c:v>
                </c:pt>
                <c:pt idx="10">
                  <c:v>0.6302494097246093</c:v>
                </c:pt>
                <c:pt idx="11">
                  <c:v>0.66342043128906247</c:v>
                </c:pt>
                <c:pt idx="12">
                  <c:v>0.69833729609374995</c:v>
                </c:pt>
                <c:pt idx="13">
                  <c:v>0.73509189062499991</c:v>
                </c:pt>
                <c:pt idx="14">
                  <c:v>0.77378093749999999</c:v>
                </c:pt>
                <c:pt idx="15">
                  <c:v>0.81450624999999999</c:v>
                </c:pt>
                <c:pt idx="16">
                  <c:v>0.85737499999999989</c:v>
                </c:pt>
                <c:pt idx="17">
                  <c:v>0.90249999999999997</c:v>
                </c:pt>
                <c:pt idx="18">
                  <c:v>0.95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7D-4E3A-905E-1F97B26EBD52}"/>
            </c:ext>
          </c:extLst>
        </c:ser>
        <c:ser>
          <c:idx val="4"/>
          <c:order val="4"/>
          <c:tx>
            <c:strRef>
              <c:f>'CL Example'!$R$30</c:f>
              <c:strCache>
                <c:ptCount val="1"/>
                <c:pt idx="0">
                  <c:v>100%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'CL Example'!$B$31:$B$50</c:f>
              <c:strCache>
                <c:ptCount val="20"/>
                <c:pt idx="0">
                  <c:v>201003</c:v>
                </c:pt>
                <c:pt idx="1">
                  <c:v>201006</c:v>
                </c:pt>
                <c:pt idx="2">
                  <c:v>201009</c:v>
                </c:pt>
                <c:pt idx="3">
                  <c:v>201012</c:v>
                </c:pt>
                <c:pt idx="4">
                  <c:v>201103</c:v>
                </c:pt>
                <c:pt idx="5">
                  <c:v>201106</c:v>
                </c:pt>
                <c:pt idx="6">
                  <c:v>201109</c:v>
                </c:pt>
                <c:pt idx="7">
                  <c:v>201112</c:v>
                </c:pt>
                <c:pt idx="8">
                  <c:v>201203</c:v>
                </c:pt>
                <c:pt idx="9">
                  <c:v>201206</c:v>
                </c:pt>
                <c:pt idx="10">
                  <c:v>201209</c:v>
                </c:pt>
                <c:pt idx="11">
                  <c:v>201212</c:v>
                </c:pt>
                <c:pt idx="12">
                  <c:v>201303</c:v>
                </c:pt>
                <c:pt idx="13">
                  <c:v>201306</c:v>
                </c:pt>
                <c:pt idx="14">
                  <c:v>201309</c:v>
                </c:pt>
                <c:pt idx="15">
                  <c:v>201312</c:v>
                </c:pt>
                <c:pt idx="16">
                  <c:v>201403</c:v>
                </c:pt>
                <c:pt idx="17">
                  <c:v>201406</c:v>
                </c:pt>
                <c:pt idx="18">
                  <c:v>201409</c:v>
                </c:pt>
                <c:pt idx="19">
                  <c:v>201412</c:v>
                </c:pt>
              </c:strCache>
            </c:strRef>
          </c:cat>
          <c:val>
            <c:numRef>
              <c:f>'CL Example'!$R$31:$R$50</c:f>
              <c:numCache>
                <c:formatCode>0%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7D-4E3A-905E-1F97B26EB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60608"/>
        <c:axId val="1795483072"/>
      </c:lineChart>
      <c:catAx>
        <c:axId val="179546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072"/>
        <c:crosses val="autoZero"/>
        <c:auto val="1"/>
        <c:lblAlgn val="ctr"/>
        <c:lblOffset val="100"/>
        <c:noMultiLvlLbl val="0"/>
      </c:catAx>
      <c:valAx>
        <c:axId val="179548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6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'CC examples - CAS'!$V$38</c:f>
              <c:strCache>
                <c:ptCount val="1"/>
                <c:pt idx="0">
                  <c:v>201003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CAS'!$V$39:$V$59</c:f>
              <c:numCache>
                <c:formatCode>0%</c:formatCode>
                <c:ptCount val="21"/>
                <c:pt idx="0">
                  <c:v>0.36750314098335873</c:v>
                </c:pt>
                <c:pt idx="1">
                  <c:v>0.36047527381157379</c:v>
                </c:pt>
                <c:pt idx="2">
                  <c:v>0.35385146865373718</c:v>
                </c:pt>
                <c:pt idx="3">
                  <c:v>0.34761722212797558</c:v>
                </c:pt>
                <c:pt idx="4">
                  <c:v>0.34176249287454813</c:v>
                </c:pt>
                <c:pt idx="5">
                  <c:v>0.3362985560494281</c:v>
                </c:pt>
                <c:pt idx="6">
                  <c:v>0.33126095821608598</c:v>
                </c:pt>
                <c:pt idx="7">
                  <c:v>0.32671253611081652</c:v>
                </c:pt>
                <c:pt idx="8">
                  <c:v>0.32274605041187576</c:v>
                </c:pt>
                <c:pt idx="9">
                  <c:v>0.31948632437219038</c:v>
                </c:pt>
                <c:pt idx="10">
                  <c:v>0.31709237223943587</c:v>
                </c:pt>
                <c:pt idx="11">
                  <c:v>0.31576082157118301</c:v>
                </c:pt>
                <c:pt idx="12">
                  <c:v>0.31573271095169092</c:v>
                </c:pt>
                <c:pt idx="13">
                  <c:v>0.31730556209806471</c:v>
                </c:pt>
                <c:pt idx="14">
                  <c:v>0.32084903565631595</c:v>
                </c:pt>
                <c:pt idx="15">
                  <c:v>0.32681032139818905</c:v>
                </c:pt>
                <c:pt idx="16">
                  <c:v>0.33566776677017346</c:v>
                </c:pt>
                <c:pt idx="17">
                  <c:v>0.3477523669719349</c:v>
                </c:pt>
                <c:pt idx="18">
                  <c:v>0.36286332685260708</c:v>
                </c:pt>
                <c:pt idx="19">
                  <c:v>0.37979526186592399</c:v>
                </c:pt>
                <c:pt idx="20">
                  <c:v>0.39627951295395819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EC-4179-8451-9A30BF7AD6C5}"/>
            </c:ext>
          </c:extLst>
        </c:ser>
        <c:ser>
          <c:idx val="1"/>
          <c:order val="1"/>
          <c:tx>
            <c:strRef>
              <c:f>'CC examples - CAS'!$W$38</c:f>
              <c:strCache>
                <c:ptCount val="1"/>
                <c:pt idx="0">
                  <c:v>201006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CAS'!$W$39:$W$59</c:f>
              <c:numCache>
                <c:formatCode>0%</c:formatCode>
                <c:ptCount val="21"/>
                <c:pt idx="0">
                  <c:v>0.22360616338896205</c:v>
                </c:pt>
                <c:pt idx="1">
                  <c:v>0.23399583315805386</c:v>
                </c:pt>
                <c:pt idx="2">
                  <c:v>0.24273534680768818</c:v>
                </c:pt>
                <c:pt idx="3">
                  <c:v>0.25017403808873001</c:v>
                </c:pt>
                <c:pt idx="4">
                  <c:v>0.25660543882866044</c:v>
                </c:pt>
                <c:pt idx="5">
                  <c:v>0.26227223042843018</c:v>
                </c:pt>
                <c:pt idx="6">
                  <c:v>0.26738517417391749</c:v>
                </c:pt>
                <c:pt idx="7">
                  <c:v>0.27213628598682976</c:v>
                </c:pt>
                <c:pt idx="8">
                  <c:v>0.27670838791382718</c:v>
                </c:pt>
                <c:pt idx="9">
                  <c:v>0.28128277082700542</c:v>
                </c:pt>
                <c:pt idx="10">
                  <c:v>0.28604664948470376</c:v>
                </c:pt>
                <c:pt idx="11">
                  <c:v>0.29120222508839383</c:v>
                </c:pt>
                <c:pt idx="12">
                  <c:v>0.29697917461086837</c:v>
                </c:pt>
                <c:pt idx="13">
                  <c:v>0.30365141372893673</c:v>
                </c:pt>
                <c:pt idx="14">
                  <c:v>0.31155497459250825</c:v>
                </c:pt>
                <c:pt idx="15">
                  <c:v>0.32109277873862085</c:v>
                </c:pt>
                <c:pt idx="16">
                  <c:v>0.33268928786193347</c:v>
                </c:pt>
                <c:pt idx="17">
                  <c:v>0.34662910886694343</c:v>
                </c:pt>
                <c:pt idx="18">
                  <c:v>0.36272598552801155</c:v>
                </c:pt>
                <c:pt idx="19">
                  <c:v>0.37992904324867521</c:v>
                </c:pt>
                <c:pt idx="20">
                  <c:v>0.39627951295395836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EC-4179-8451-9A30BF7AD6C5}"/>
            </c:ext>
          </c:extLst>
        </c:ser>
        <c:ser>
          <c:idx val="2"/>
          <c:order val="2"/>
          <c:tx>
            <c:strRef>
              <c:f>'CC examples - CAS'!$X$38</c:f>
              <c:strCache>
                <c:ptCount val="1"/>
                <c:pt idx="0">
                  <c:v>201009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CAS'!$X$39:$X$59</c:f>
              <c:numCache>
                <c:formatCode>0%</c:formatCode>
                <c:ptCount val="21"/>
                <c:pt idx="0">
                  <c:v>0.31213611634502886</c:v>
                </c:pt>
                <c:pt idx="1">
                  <c:v>0.30504130816220171</c:v>
                </c:pt>
                <c:pt idx="2">
                  <c:v>0.29974114771169214</c:v>
                </c:pt>
                <c:pt idx="3">
                  <c:v>0.29596091056112511</c:v>
                </c:pt>
                <c:pt idx="4">
                  <c:v>0.29347376379870366</c:v>
                </c:pt>
                <c:pt idx="5">
                  <c:v>0.2921075843629321</c:v>
                </c:pt>
                <c:pt idx="6">
                  <c:v>0.2917358438665395</c:v>
                </c:pt>
                <c:pt idx="7">
                  <c:v>0.2922698716851434</c:v>
                </c:pt>
                <c:pt idx="8">
                  <c:v>0.29365316971637428</c:v>
                </c:pt>
                <c:pt idx="9">
                  <c:v>0.29585832968737763</c:v>
                </c:pt>
                <c:pt idx="10">
                  <c:v>0.29888715716080488</c:v>
                </c:pt>
                <c:pt idx="11">
                  <c:v>0.30277470758172487</c:v>
                </c:pt>
                <c:pt idx="12">
                  <c:v>0.30759779271479487</c:v>
                </c:pt>
                <c:pt idx="13">
                  <c:v>0.31348739953086902</c:v>
                </c:pt>
                <c:pt idx="14">
                  <c:v>0.3206408161215018</c:v>
                </c:pt>
                <c:pt idx="15">
                  <c:v>0.32932040938496288</c:v>
                </c:pt>
                <c:pt idx="16">
                  <c:v>0.33980969816385376</c:v>
                </c:pt>
                <c:pt idx="17">
                  <c:v>0.35227988886466438</c:v>
                </c:pt>
                <c:pt idx="18">
                  <c:v>0.36653540205759577</c:v>
                </c:pt>
                <c:pt idx="19">
                  <c:v>0.38172142221926697</c:v>
                </c:pt>
                <c:pt idx="20">
                  <c:v>0.39627951295395836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EC-4179-8451-9A30BF7AD6C5}"/>
            </c:ext>
          </c:extLst>
        </c:ser>
        <c:ser>
          <c:idx val="3"/>
          <c:order val="3"/>
          <c:tx>
            <c:strRef>
              <c:f>'CC examples - CAS'!$Y$38</c:f>
              <c:strCache>
                <c:ptCount val="1"/>
                <c:pt idx="0">
                  <c:v>201012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CAS'!$Y$39:$Y$59</c:f>
              <c:numCache>
                <c:formatCode>0%</c:formatCode>
                <c:ptCount val="21"/>
                <c:pt idx="0">
                  <c:v>0.24019259388891381</c:v>
                </c:pt>
                <c:pt idx="1">
                  <c:v>0.24905765454578085</c:v>
                </c:pt>
                <c:pt idx="2">
                  <c:v>0.25674473292819311</c:v>
                </c:pt>
                <c:pt idx="3">
                  <c:v>0.26356465843055737</c:v>
                </c:pt>
                <c:pt idx="4">
                  <c:v>0.26978042921037465</c:v>
                </c:pt>
                <c:pt idx="5">
                  <c:v>0.27559962759101403</c:v>
                </c:pt>
                <c:pt idx="6">
                  <c:v>0.2811849151756145</c:v>
                </c:pt>
                <c:pt idx="7">
                  <c:v>0.28666399119334007</c:v>
                </c:pt>
                <c:pt idx="8">
                  <c:v>0.2921394115412882</c:v>
                </c:pt>
                <c:pt idx="9">
                  <c:v>0.29769865526506534</c:v>
                </c:pt>
                <c:pt idx="10">
                  <c:v>0.30342489344865514</c:v>
                </c:pt>
                <c:pt idx="11">
                  <c:v>0.30940891872212123</c:v>
                </c:pt>
                <c:pt idx="12">
                  <c:v>0.31576236400805641</c:v>
                </c:pt>
                <c:pt idx="13">
                  <c:v>0.32263113248878389</c:v>
                </c:pt>
                <c:pt idx="14">
                  <c:v>0.33020489271995085</c:v>
                </c:pt>
                <c:pt idx="15">
                  <c:v>0.33871226902195301</c:v>
                </c:pt>
                <c:pt idx="16">
                  <c:v>0.34838186015796196</c:v>
                </c:pt>
                <c:pt idx="17">
                  <c:v>0.35934250213336549</c:v>
                </c:pt>
                <c:pt idx="18">
                  <c:v>0.37145286973465408</c:v>
                </c:pt>
                <c:pt idx="19">
                  <c:v>0.38412094743090963</c:v>
                </c:pt>
                <c:pt idx="20">
                  <c:v>0.39627951295395819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EC-4179-8451-9A30BF7AD6C5}"/>
            </c:ext>
          </c:extLst>
        </c:ser>
        <c:ser>
          <c:idx val="4"/>
          <c:order val="4"/>
          <c:tx>
            <c:strRef>
              <c:f>'CC examples - CAS'!$Z$38</c:f>
              <c:strCache>
                <c:ptCount val="1"/>
                <c:pt idx="0">
                  <c:v>201103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CAS'!$Z$39:$Z$59</c:f>
              <c:numCache>
                <c:formatCode>0%</c:formatCode>
                <c:ptCount val="21"/>
                <c:pt idx="0">
                  <c:v>0.36228628988442541</c:v>
                </c:pt>
                <c:pt idx="1">
                  <c:v>0.35566824463385249</c:v>
                </c:pt>
                <c:pt idx="2">
                  <c:v>0.35060432055913199</c:v>
                </c:pt>
                <c:pt idx="3">
                  <c:v>0.3468724170266273</c:v>
                </c:pt>
                <c:pt idx="4">
                  <c:v>0.3442683209887909</c:v>
                </c:pt>
                <c:pt idx="5">
                  <c:v>0.34261643427095267</c:v>
                </c:pt>
                <c:pt idx="6">
                  <c:v>0.34176728121849359</c:v>
                </c:pt>
                <c:pt idx="7">
                  <c:v>0.34159658326705195</c:v>
                </c:pt>
                <c:pt idx="8">
                  <c:v>0.34200575031003078</c:v>
                </c:pt>
                <c:pt idx="9">
                  <c:v>0.34292371972761881</c:v>
                </c:pt>
                <c:pt idx="10">
                  <c:v>0.34431012773430791</c:v>
                </c:pt>
                <c:pt idx="11">
                  <c:v>0.3461597420391983</c:v>
                </c:pt>
                <c:pt idx="12">
                  <c:v>0.34850773659047951</c:v>
                </c:pt>
                <c:pt idx="13">
                  <c:v>0.35143440693643352</c:v>
                </c:pt>
                <c:pt idx="14">
                  <c:v>0.35506580761328005</c:v>
                </c:pt>
                <c:pt idx="15">
                  <c:v>0.3595631476318098</c:v>
                </c:pt>
                <c:pt idx="16">
                  <c:v>0.36508935421002259</c:v>
                </c:pt>
                <c:pt idx="17">
                  <c:v>0.37174023139350931</c:v>
                </c:pt>
                <c:pt idx="18">
                  <c:v>0.37944001896301416</c:v>
                </c:pt>
                <c:pt idx="19">
                  <c:v>0.38783692988165536</c:v>
                </c:pt>
                <c:pt idx="20">
                  <c:v>0.39627951295395819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EC-4179-8451-9A30BF7AD6C5}"/>
            </c:ext>
          </c:extLst>
        </c:ser>
        <c:ser>
          <c:idx val="5"/>
          <c:order val="5"/>
          <c:tx>
            <c:strRef>
              <c:f>'CC examples - CAS'!$AA$38</c:f>
              <c:strCache>
                <c:ptCount val="1"/>
                <c:pt idx="0">
                  <c:v>201106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CAS'!$AA$39:$AA$59</c:f>
              <c:numCache>
                <c:formatCode>0%</c:formatCode>
                <c:ptCount val="21"/>
                <c:pt idx="0">
                  <c:v>0.33400362553051194</c:v>
                </c:pt>
                <c:pt idx="1">
                  <c:v>0.34366082527367964</c:v>
                </c:pt>
                <c:pt idx="2">
                  <c:v>0.35214876857983002</c:v>
                </c:pt>
                <c:pt idx="3">
                  <c:v>0.35944464241197882</c:v>
                </c:pt>
                <c:pt idx="4">
                  <c:v>0.36555882972776277</c:v>
                </c:pt>
                <c:pt idx="5">
                  <c:v>0.37051915537893743</c:v>
                </c:pt>
                <c:pt idx="6">
                  <c:v>0.37437486728447045</c:v>
                </c:pt>
                <c:pt idx="7">
                  <c:v>0.37719997608790207</c:v>
                </c:pt>
                <c:pt idx="8">
                  <c:v>0.37909584645370759</c:v>
                </c:pt>
                <c:pt idx="9">
                  <c:v>0.38019285152480242</c:v>
                </c:pt>
                <c:pt idx="10">
                  <c:v>0.38065096663380599</c:v>
                </c:pt>
                <c:pt idx="11">
                  <c:v>0.38065927493355761</c:v>
                </c:pt>
                <c:pt idx="12">
                  <c:v>0.38043428399487406</c:v>
                </c:pt>
                <c:pt idx="13">
                  <c:v>0.38021643852663911</c:v>
                </c:pt>
                <c:pt idx="14">
                  <c:v>0.38026301918838218</c:v>
                </c:pt>
                <c:pt idx="15">
                  <c:v>0.38083379089481895</c:v>
                </c:pt>
                <c:pt idx="16">
                  <c:v>0.38216417764094945</c:v>
                </c:pt>
                <c:pt idx="17">
                  <c:v>0.3844217545455898</c:v>
                </c:pt>
                <c:pt idx="18">
                  <c:v>0.38764909046953866</c:v>
                </c:pt>
                <c:pt idx="19">
                  <c:v>0.39171099869819559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EC-4179-8451-9A30BF7AD6C5}"/>
            </c:ext>
          </c:extLst>
        </c:ser>
        <c:ser>
          <c:idx val="6"/>
          <c:order val="6"/>
          <c:tx>
            <c:strRef>
              <c:f>'CC examples - CAS'!$AB$38</c:f>
              <c:strCache>
                <c:ptCount val="1"/>
                <c:pt idx="0">
                  <c:v>201109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CAS'!$AB$39:$AB$59</c:f>
              <c:numCache>
                <c:formatCode>0%</c:formatCode>
                <c:ptCount val="21"/>
                <c:pt idx="0">
                  <c:v>0.58286298468722042</c:v>
                </c:pt>
                <c:pt idx="1">
                  <c:v>0.57250806989411918</c:v>
                </c:pt>
                <c:pt idx="2">
                  <c:v>0.56126033391943819</c:v>
                </c:pt>
                <c:pt idx="3">
                  <c:v>0.54931731153836449</c:v>
                </c:pt>
                <c:pt idx="4">
                  <c:v>0.53683887069527414</c:v>
                </c:pt>
                <c:pt idx="5">
                  <c:v>0.52397133562446785</c:v>
                </c:pt>
                <c:pt idx="6">
                  <c:v>0.51085492200183191</c:v>
                </c:pt>
                <c:pt idx="7">
                  <c:v>0.49763224311971183</c:v>
                </c:pt>
                <c:pt idx="8">
                  <c:v>0.4844560241548253</c:v>
                </c:pt>
                <c:pt idx="9">
                  <c:v>0.47149454584311146</c:v>
                </c:pt>
                <c:pt idx="10">
                  <c:v>0.45893391137568013</c:v>
                </c:pt>
                <c:pt idx="11">
                  <c:v>0.44697685327349784</c:v>
                </c:pt>
                <c:pt idx="12">
                  <c:v>0.43583824694546708</c:v>
                </c:pt>
                <c:pt idx="13">
                  <c:v>0.42573753066863324</c:v>
                </c:pt>
                <c:pt idx="14">
                  <c:v>0.41688774328450917</c:v>
                </c:pt>
                <c:pt idx="15">
                  <c:v>0.40948013062238969</c:v>
                </c:pt>
                <c:pt idx="16">
                  <c:v>0.40366299725446919</c:v>
                </c:pt>
                <c:pt idx="17">
                  <c:v>0.39951482810418409</c:v>
                </c:pt>
                <c:pt idx="18">
                  <c:v>0.39701547785511515</c:v>
                </c:pt>
                <c:pt idx="19">
                  <c:v>0.39602455858166896</c:v>
                </c:pt>
                <c:pt idx="20">
                  <c:v>0.39627951295395802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EC-4179-8451-9A30BF7AD6C5}"/>
            </c:ext>
          </c:extLst>
        </c:ser>
        <c:ser>
          <c:idx val="7"/>
          <c:order val="7"/>
          <c:tx>
            <c:strRef>
              <c:f>'CC examples - CAS'!$AC$38</c:f>
              <c:strCache>
                <c:ptCount val="1"/>
                <c:pt idx="0">
                  <c:v>201112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CAS'!$AC$39:$AC$59</c:f>
              <c:numCache>
                <c:formatCode>0%</c:formatCode>
                <c:ptCount val="21"/>
                <c:pt idx="0">
                  <c:v>0.78304365440260337</c:v>
                </c:pt>
                <c:pt idx="1">
                  <c:v>0.74395596319788448</c:v>
                </c:pt>
                <c:pt idx="2">
                  <c:v>0.70797777872520873</c:v>
                </c:pt>
                <c:pt idx="3">
                  <c:v>0.67487610262725439</c:v>
                </c:pt>
                <c:pt idx="4">
                  <c:v>0.64434925389450115</c:v>
                </c:pt>
                <c:pt idx="5">
                  <c:v>0.61611645186710307</c:v>
                </c:pt>
                <c:pt idx="6">
                  <c:v>0.58992648872326803</c:v>
                </c:pt>
                <c:pt idx="7">
                  <c:v>0.56556651771647137</c:v>
                </c:pt>
                <c:pt idx="8">
                  <c:v>0.54287003607493745</c:v>
                </c:pt>
                <c:pt idx="9">
                  <c:v>0.52172293597702335</c:v>
                </c:pt>
                <c:pt idx="10">
                  <c:v>0.50206639032636946</c:v>
                </c:pt>
                <c:pt idx="11">
                  <c:v>0.4838953965078665</c:v>
                </c:pt>
                <c:pt idx="12">
                  <c:v>0.46725205906896827</c:v>
                </c:pt>
                <c:pt idx="13">
                  <c:v>0.4522131633260143</c:v>
                </c:pt>
                <c:pt idx="14">
                  <c:v>0.43887228040323512</c:v>
                </c:pt>
                <c:pt idx="15">
                  <c:v>0.42731756606766286</c:v>
                </c:pt>
                <c:pt idx="16">
                  <c:v>0.41760756479799038</c:v>
                </c:pt>
                <c:pt idx="17">
                  <c:v>0.40974855659829901</c:v>
                </c:pt>
                <c:pt idx="18">
                  <c:v>0.40367785476027651</c:v>
                </c:pt>
                <c:pt idx="19">
                  <c:v>0.39925730494405481</c:v>
                </c:pt>
                <c:pt idx="20">
                  <c:v>0.39627951295395814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CEC-4179-8451-9A30BF7AD6C5}"/>
            </c:ext>
          </c:extLst>
        </c:ser>
        <c:ser>
          <c:idx val="8"/>
          <c:order val="8"/>
          <c:tx>
            <c:strRef>
              <c:f>'CC examples - CAS'!$AD$38</c:f>
              <c:strCache>
                <c:ptCount val="1"/>
                <c:pt idx="0">
                  <c:v>201203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CAS'!$AD$39:$AD$59</c:f>
              <c:numCache>
                <c:formatCode>0%</c:formatCode>
                <c:ptCount val="21"/>
                <c:pt idx="0">
                  <c:v>0.21387225977326094</c:v>
                </c:pt>
                <c:pt idx="1">
                  <c:v>0.25086576101316815</c:v>
                </c:pt>
                <c:pt idx="2">
                  <c:v>0.28455318366433408</c:v>
                </c:pt>
                <c:pt idx="3">
                  <c:v>0.31478989880273073</c:v>
                </c:pt>
                <c:pt idx="4">
                  <c:v>0.34152287408479826</c:v>
                </c:pt>
                <c:pt idx="5">
                  <c:v>0.3647198025137684</c:v>
                </c:pt>
                <c:pt idx="6">
                  <c:v>0.38437349132925253</c:v>
                </c:pt>
                <c:pt idx="7">
                  <c:v>0.40050618691320816</c:v>
                </c:pt>
                <c:pt idx="8">
                  <c:v>0.41317597764912134</c:v>
                </c:pt>
                <c:pt idx="9">
                  <c:v>0.42248671350152017</c:v>
                </c:pt>
                <c:pt idx="10">
                  <c:v>0.42860132947707141</c:v>
                </c:pt>
                <c:pt idx="11">
                  <c:v>0.43175622148827209</c:v>
                </c:pt>
                <c:pt idx="12">
                  <c:v>0.43227201511645702</c:v>
                </c:pt>
                <c:pt idx="13">
                  <c:v>0.43055476379186558</c:v>
                </c:pt>
                <c:pt idx="14">
                  <c:v>0.42708248961716327</c:v>
                </c:pt>
                <c:pt idx="15">
                  <c:v>0.42237556077115485</c:v>
                </c:pt>
                <c:pt idx="16">
                  <c:v>0.41695478805288427</c:v>
                </c:pt>
                <c:pt idx="17">
                  <c:v>0.41129600003082606</c:v>
                </c:pt>
                <c:pt idx="18">
                  <c:v>0.40579167038130004</c:v>
                </c:pt>
                <c:pt idx="19">
                  <c:v>0.40072785856363663</c:v>
                </c:pt>
                <c:pt idx="20">
                  <c:v>0.39627951295395825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CEC-4179-8451-9A30BF7AD6C5}"/>
            </c:ext>
          </c:extLst>
        </c:ser>
        <c:ser>
          <c:idx val="9"/>
          <c:order val="9"/>
          <c:tx>
            <c:strRef>
              <c:f>'CC examples - CAS'!$AE$38</c:f>
              <c:strCache>
                <c:ptCount val="1"/>
                <c:pt idx="0">
                  <c:v>201206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CAS'!$AE$39:$AE$59</c:f>
              <c:numCache>
                <c:formatCode>0%</c:formatCode>
                <c:ptCount val="21"/>
                <c:pt idx="0">
                  <c:v>0.4317747025765129</c:v>
                </c:pt>
                <c:pt idx="1">
                  <c:v>0.42910872350083651</c:v>
                </c:pt>
                <c:pt idx="2">
                  <c:v>0.42838765337438806</c:v>
                </c:pt>
                <c:pt idx="3">
                  <c:v>0.42918096208032308</c:v>
                </c:pt>
                <c:pt idx="4">
                  <c:v>0.43111223373245905</c:v>
                </c:pt>
                <c:pt idx="5">
                  <c:v>0.43383249588484474</c:v>
                </c:pt>
                <c:pt idx="6">
                  <c:v>0.43699679947630171</c:v>
                </c:pt>
                <c:pt idx="7">
                  <c:v>0.44025078309431281</c:v>
                </c:pt>
                <c:pt idx="8">
                  <c:v>0.44322769524964073</c:v>
                </c:pt>
                <c:pt idx="9">
                  <c:v>0.44555714480057462</c:v>
                </c:pt>
                <c:pt idx="10">
                  <c:v>0.4468866487643513</c:v>
                </c:pt>
                <c:pt idx="11">
                  <c:v>0.44691519738777613</c:v>
                </c:pt>
                <c:pt idx="12">
                  <c:v>0.44543421116027732</c:v>
                </c:pt>
                <c:pt idx="13">
                  <c:v>0.4423662723378225</c:v>
                </c:pt>
                <c:pt idx="14">
                  <c:v>0.4377884988578194</c:v>
                </c:pt>
                <c:pt idx="15">
                  <c:v>0.43192887241446987</c:v>
                </c:pt>
                <c:pt idx="16">
                  <c:v>0.42513180156861863</c:v>
                </c:pt>
                <c:pt idx="17">
                  <c:v>0.41780078526413389</c:v>
                </c:pt>
                <c:pt idx="18">
                  <c:v>0.41033482606252475</c:v>
                </c:pt>
                <c:pt idx="19">
                  <c:v>0.40307609082749646</c:v>
                </c:pt>
                <c:pt idx="20">
                  <c:v>0.3962795129539583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CEC-4179-8451-9A30BF7AD6C5}"/>
            </c:ext>
          </c:extLst>
        </c:ser>
        <c:ser>
          <c:idx val="10"/>
          <c:order val="10"/>
          <c:tx>
            <c:strRef>
              <c:f>'CC examples - CAS'!$AF$38</c:f>
              <c:strCache>
                <c:ptCount val="1"/>
                <c:pt idx="0">
                  <c:v>201209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CAS'!$AF$39:$AF$59</c:f>
              <c:numCache>
                <c:formatCode>0%</c:formatCode>
                <c:ptCount val="21"/>
                <c:pt idx="0">
                  <c:v>0.57158470257344074</c:v>
                </c:pt>
                <c:pt idx="1">
                  <c:v>0.55613168789201173</c:v>
                </c:pt>
                <c:pt idx="2">
                  <c:v>0.5413730927192606</c:v>
                </c:pt>
                <c:pt idx="3">
                  <c:v>0.52780047304218891</c:v>
                </c:pt>
                <c:pt idx="4">
                  <c:v>0.51569019428441754</c:v>
                </c:pt>
                <c:pt idx="5">
                  <c:v>0.50516417884333797</c:v>
                </c:pt>
                <c:pt idx="6">
                  <c:v>0.49621165742334755</c:v>
                </c:pt>
                <c:pt idx="7">
                  <c:v>0.48870528976920341</c:v>
                </c:pt>
                <c:pt idx="8">
                  <c:v>0.48241446130169141</c:v>
                </c:pt>
                <c:pt idx="9">
                  <c:v>0.47701965709806515</c:v>
                </c:pt>
                <c:pt idx="10">
                  <c:v>0.47213289643900841</c:v>
                </c:pt>
                <c:pt idx="11">
                  <c:v>0.46732934346723937</c:v>
                </c:pt>
                <c:pt idx="12">
                  <c:v>0.46219298592847752</c:v>
                </c:pt>
                <c:pt idx="13">
                  <c:v>0.45637364369756267</c:v>
                </c:pt>
                <c:pt idx="14">
                  <c:v>0.44964447085550457</c:v>
                </c:pt>
                <c:pt idx="15">
                  <c:v>0.44194267596836678</c:v>
                </c:pt>
                <c:pt idx="16">
                  <c:v>0.43337712831301017</c:v>
                </c:pt>
                <c:pt idx="17">
                  <c:v>0.42419723589859198</c:v>
                </c:pt>
                <c:pt idx="18">
                  <c:v>0.41473303761286612</c:v>
                </c:pt>
                <c:pt idx="19">
                  <c:v>0.40532722190369253</c:v>
                </c:pt>
                <c:pt idx="20">
                  <c:v>0.39627951295395825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EC-4179-8451-9A30BF7AD6C5}"/>
            </c:ext>
          </c:extLst>
        </c:ser>
        <c:ser>
          <c:idx val="11"/>
          <c:order val="11"/>
          <c:tx>
            <c:strRef>
              <c:f>'CC examples - CAS'!$AG$38</c:f>
              <c:strCache>
                <c:ptCount val="1"/>
                <c:pt idx="0">
                  <c:v>201212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CAS'!$AG$39:$AG$59</c:f>
              <c:numCache>
                <c:formatCode>0%</c:formatCode>
                <c:ptCount val="21"/>
                <c:pt idx="0">
                  <c:v>0.3902920081437265</c:v>
                </c:pt>
                <c:pt idx="1">
                  <c:v>0.39713575054652889</c:v>
                </c:pt>
                <c:pt idx="2">
                  <c:v>0.40442973377130309</c:v>
                </c:pt>
                <c:pt idx="3">
                  <c:v>0.41175992797829725</c:v>
                </c:pt>
                <c:pt idx="4">
                  <c:v>0.4188585176035447</c:v>
                </c:pt>
                <c:pt idx="5">
                  <c:v>0.42555025946601993</c:v>
                </c:pt>
                <c:pt idx="6">
                  <c:v>0.43171841128503408</c:v>
                </c:pt>
                <c:pt idx="7">
                  <c:v>0.43727423268862281</c:v>
                </c:pt>
                <c:pt idx="8">
                  <c:v>0.44212891094354045</c:v>
                </c:pt>
                <c:pt idx="9">
                  <c:v>0.44616876065353511</c:v>
                </c:pt>
                <c:pt idx="10">
                  <c:v>0.44923679713338921</c:v>
                </c:pt>
                <c:pt idx="11">
                  <c:v>0.45112600044361334</c:v>
                </c:pt>
                <c:pt idx="12">
                  <c:v>0.45159072899768998</c:v>
                </c:pt>
                <c:pt idx="13">
                  <c:v>0.45038099768600892</c:v>
                </c:pt>
                <c:pt idx="14">
                  <c:v>0.44729800701733852</c:v>
                </c:pt>
                <c:pt idx="15">
                  <c:v>0.44225889743711871</c:v>
                </c:pt>
                <c:pt idx="16">
                  <c:v>0.43534893558940613</c:v>
                </c:pt>
                <c:pt idx="17">
                  <c:v>0.42683798648424831</c:v>
                </c:pt>
                <c:pt idx="18">
                  <c:v>0.4171498822410607</c:v>
                </c:pt>
                <c:pt idx="19">
                  <c:v>0.4067933979790358</c:v>
                </c:pt>
                <c:pt idx="20">
                  <c:v>0.3962795129539583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CEC-4179-8451-9A30BF7AD6C5}"/>
            </c:ext>
          </c:extLst>
        </c:ser>
        <c:ser>
          <c:idx val="12"/>
          <c:order val="12"/>
          <c:tx>
            <c:strRef>
              <c:f>'CC examples - CAS'!$AH$38</c:f>
              <c:strCache>
                <c:ptCount val="1"/>
                <c:pt idx="0">
                  <c:v>201303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CAS'!$AH$39:$AH$59</c:f>
              <c:numCache>
                <c:formatCode>0%</c:formatCode>
                <c:ptCount val="21"/>
                <c:pt idx="0">
                  <c:v>0.348099049501365</c:v>
                </c:pt>
                <c:pt idx="1">
                  <c:v>0.3701816227570594</c:v>
                </c:pt>
                <c:pt idx="2">
                  <c:v>0.38894111489090338</c:v>
                </c:pt>
                <c:pt idx="3">
                  <c:v>0.4047087418404593</c:v>
                </c:pt>
                <c:pt idx="4">
                  <c:v>0.41781733911965335</c:v>
                </c:pt>
                <c:pt idx="5">
                  <c:v>0.42856963193284897</c:v>
                </c:pt>
                <c:pt idx="6">
                  <c:v>0.43724499960670737</c:v>
                </c:pt>
                <c:pt idx="7">
                  <c:v>0.44409809279977319</c:v>
                </c:pt>
                <c:pt idx="8">
                  <c:v>0.44935050335551791</c:v>
                </c:pt>
                <c:pt idx="9">
                  <c:v>0.45317691057671083</c:v>
                </c:pt>
                <c:pt idx="10">
                  <c:v>0.45568794874570834</c:v>
                </c:pt>
                <c:pt idx="11">
                  <c:v>0.45691370857847541</c:v>
                </c:pt>
                <c:pt idx="12">
                  <c:v>0.45679425271122392</c:v>
                </c:pt>
                <c:pt idx="13">
                  <c:v>0.45518601275740245</c:v>
                </c:pt>
                <c:pt idx="14">
                  <c:v>0.45189343102130913</c:v>
                </c:pt>
                <c:pt idx="15">
                  <c:v>0.44673056431308727</c:v>
                </c:pt>
                <c:pt idx="16">
                  <c:v>0.43960522913347599</c:v>
                </c:pt>
                <c:pt idx="17">
                  <c:v>0.43060126924000608</c:v>
                </c:pt>
                <c:pt idx="18">
                  <c:v>0.42002328241345072</c:v>
                </c:pt>
                <c:pt idx="19">
                  <c:v>0.40837601470357376</c:v>
                </c:pt>
                <c:pt idx="20">
                  <c:v>0.39627951295395814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CEC-4179-8451-9A30BF7AD6C5}"/>
            </c:ext>
          </c:extLst>
        </c:ser>
        <c:ser>
          <c:idx val="13"/>
          <c:order val="13"/>
          <c:tx>
            <c:strRef>
              <c:f>'CC examples - CAS'!$AI$38</c:f>
              <c:strCache>
                <c:ptCount val="1"/>
                <c:pt idx="0">
                  <c:v>201306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CAS'!$AI$39:$AI$59</c:f>
              <c:numCache>
                <c:formatCode>0%</c:formatCode>
                <c:ptCount val="21"/>
                <c:pt idx="0">
                  <c:v>0.80457034590996035</c:v>
                </c:pt>
                <c:pt idx="1">
                  <c:v>0.75404719148352961</c:v>
                </c:pt>
                <c:pt idx="2">
                  <c:v>0.71041224212492171</c:v>
                </c:pt>
                <c:pt idx="3">
                  <c:v>0.67262125786040772</c:v>
                </c:pt>
                <c:pt idx="4">
                  <c:v>0.63977646310888225</c:v>
                </c:pt>
                <c:pt idx="5">
                  <c:v>0.61116562146596309</c:v>
                </c:pt>
                <c:pt idx="6">
                  <c:v>0.58621364030816581</c:v>
                </c:pt>
                <c:pt idx="7">
                  <c:v>0.56444696059513988</c:v>
                </c:pt>
                <c:pt idx="8">
                  <c:v>0.54546458514995844</c:v>
                </c:pt>
                <c:pt idx="9">
                  <c:v>0.5289114383787431</c:v>
                </c:pt>
                <c:pt idx="10">
                  <c:v>0.51445126543848352</c:v>
                </c:pt>
                <c:pt idx="11">
                  <c:v>0.50173804090401652</c:v>
                </c:pt>
                <c:pt idx="12">
                  <c:v>0.49038749253505171</c:v>
                </c:pt>
                <c:pt idx="13">
                  <c:v>0.47995444868060744</c:v>
                </c:pt>
                <c:pt idx="14">
                  <c:v>0.46992725539042501</c:v>
                </c:pt>
                <c:pt idx="15">
                  <c:v>0.45975534229630899</c:v>
                </c:pt>
                <c:pt idx="16">
                  <c:v>0.44892408822126517</c:v>
                </c:pt>
                <c:pt idx="17">
                  <c:v>0.43707374157530615</c:v>
                </c:pt>
                <c:pt idx="18">
                  <c:v>0.42412480103656491</c:v>
                </c:pt>
                <c:pt idx="19">
                  <c:v>0.41034182801706037</c:v>
                </c:pt>
                <c:pt idx="20">
                  <c:v>0.39627951295395802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CEC-4179-8451-9A30BF7AD6C5}"/>
            </c:ext>
          </c:extLst>
        </c:ser>
        <c:ser>
          <c:idx val="14"/>
          <c:order val="14"/>
          <c:tx>
            <c:strRef>
              <c:f>'CC examples - CAS'!$AJ$38</c:f>
              <c:strCache>
                <c:ptCount val="1"/>
                <c:pt idx="0">
                  <c:v>201309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CAS'!$AJ$39:$AJ$59</c:f>
              <c:numCache>
                <c:formatCode>0%</c:formatCode>
                <c:ptCount val="21"/>
                <c:pt idx="0">
                  <c:v>0.30150212860519926</c:v>
                </c:pt>
                <c:pt idx="1">
                  <c:v>0.3280763724453164</c:v>
                </c:pt>
                <c:pt idx="2">
                  <c:v>0.35061443567138378</c:v>
                </c:pt>
                <c:pt idx="3">
                  <c:v>0.36966359533642201</c:v>
                </c:pt>
                <c:pt idx="4">
                  <c:v>0.38573193557608015</c:v>
                </c:pt>
                <c:pt idx="5">
                  <c:v>0.39924294820390915</c:v>
                </c:pt>
                <c:pt idx="6">
                  <c:v>0.41054832200702651</c:v>
                </c:pt>
                <c:pt idx="7">
                  <c:v>0.41994036593800138</c:v>
                </c:pt>
                <c:pt idx="8">
                  <c:v>0.42766248669293222</c:v>
                </c:pt>
                <c:pt idx="9">
                  <c:v>0.43391540448207472</c:v>
                </c:pt>
                <c:pt idx="10">
                  <c:v>0.43885626110632886</c:v>
                </c:pt>
                <c:pt idx="11">
                  <c:v>0.4425877570487643</c:v>
                </c:pt>
                <c:pt idx="12">
                  <c:v>0.44513562149525604</c:v>
                </c:pt>
                <c:pt idx="13">
                  <c:v>0.44641637794005334</c:v>
                </c:pt>
                <c:pt idx="14">
                  <c:v>0.44620549368763568</c:v>
                </c:pt>
                <c:pt idx="15">
                  <c:v>0.4441298269281353</c:v>
                </c:pt>
                <c:pt idx="16">
                  <c:v>0.43972320410566862</c:v>
                </c:pt>
                <c:pt idx="17">
                  <c:v>0.43258118028622417</c:v>
                </c:pt>
                <c:pt idx="18">
                  <c:v>0.42260030340838889</c:v>
                </c:pt>
                <c:pt idx="19">
                  <c:v>0.41018882731529144</c:v>
                </c:pt>
                <c:pt idx="20">
                  <c:v>0.39627951295395802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EC-4179-8451-9A30BF7AD6C5}"/>
            </c:ext>
          </c:extLst>
        </c:ser>
        <c:ser>
          <c:idx val="15"/>
          <c:order val="15"/>
          <c:tx>
            <c:strRef>
              <c:f>'CC examples - CAS'!$AK$38</c:f>
              <c:strCache>
                <c:ptCount val="1"/>
                <c:pt idx="0">
                  <c:v>201312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CAS'!$AK$39:$AK$59</c:f>
              <c:numCache>
                <c:formatCode>0%</c:formatCode>
                <c:ptCount val="21"/>
                <c:pt idx="0">
                  <c:v>0.47881924041994733</c:v>
                </c:pt>
                <c:pt idx="1">
                  <c:v>0.46413285312538366</c:v>
                </c:pt>
                <c:pt idx="2">
                  <c:v>0.45388799923301815</c:v>
                </c:pt>
                <c:pt idx="3">
                  <c:v>0.44708078079911634</c:v>
                </c:pt>
                <c:pt idx="4">
                  <c:v>0.44287661288917685</c:v>
                </c:pt>
                <c:pt idx="5">
                  <c:v>0.44060258158767257</c:v>
                </c:pt>
                <c:pt idx="6">
                  <c:v>0.43971672804118794</c:v>
                </c:pt>
                <c:pt idx="7">
                  <c:v>0.43978534780365369</c:v>
                </c:pt>
                <c:pt idx="8">
                  <c:v>0.44046526472433734</c:v>
                </c:pt>
                <c:pt idx="9">
                  <c:v>0.44148802446373447</c:v>
                </c:pt>
                <c:pt idx="10">
                  <c:v>0.44264242290822831</c:v>
                </c:pt>
                <c:pt idx="11">
                  <c:v>0.44375092845010006</c:v>
                </c:pt>
                <c:pt idx="12">
                  <c:v>0.44463492137981331</c:v>
                </c:pt>
                <c:pt idx="13">
                  <c:v>0.44506473367672883</c:v>
                </c:pt>
                <c:pt idx="14">
                  <c:v>0.4446965874817374</c:v>
                </c:pt>
                <c:pt idx="15">
                  <c:v>0.44301536917891648</c:v>
                </c:pt>
                <c:pt idx="16">
                  <c:v>0.43933331163825351</c:v>
                </c:pt>
                <c:pt idx="17">
                  <c:v>0.43292396758172874</c:v>
                </c:pt>
                <c:pt idx="18">
                  <c:v>0.42333802936607473</c:v>
                </c:pt>
                <c:pt idx="19">
                  <c:v>0.41078581918306872</c:v>
                </c:pt>
                <c:pt idx="20">
                  <c:v>0.39627951295395802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CEC-4179-8451-9A30BF7AD6C5}"/>
            </c:ext>
          </c:extLst>
        </c:ser>
        <c:ser>
          <c:idx val="16"/>
          <c:order val="16"/>
          <c:tx>
            <c:strRef>
              <c:f>'CC examples - CAS'!$AL$38</c:f>
              <c:strCache>
                <c:ptCount val="1"/>
                <c:pt idx="0">
                  <c:v>201403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CAS'!$AL$39:$AL$59</c:f>
              <c:numCache>
                <c:formatCode>0%</c:formatCode>
                <c:ptCount val="21"/>
                <c:pt idx="0">
                  <c:v>0.32234729294835096</c:v>
                </c:pt>
                <c:pt idx="1">
                  <c:v>0.3431950540702417</c:v>
                </c:pt>
                <c:pt idx="2">
                  <c:v>0.3605243341545859</c:v>
                </c:pt>
                <c:pt idx="3">
                  <c:v>0.3749401717236393</c:v>
                </c:pt>
                <c:pt idx="4">
                  <c:v>0.38696423450385037</c:v>
                </c:pt>
                <c:pt idx="5">
                  <c:v>0.39701690457199712</c:v>
                </c:pt>
                <c:pt idx="6">
                  <c:v>0.40543876158578385</c:v>
                </c:pt>
                <c:pt idx="7">
                  <c:v>0.41250737148850958</c:v>
                </c:pt>
                <c:pt idx="8">
                  <c:v>0.41845042874124827</c:v>
                </c:pt>
                <c:pt idx="9">
                  <c:v>0.4234554150263935</c:v>
                </c:pt>
                <c:pt idx="10">
                  <c:v>0.42767459771170152</c:v>
                </c:pt>
                <c:pt idx="11">
                  <c:v>0.43122218348151226</c:v>
                </c:pt>
                <c:pt idx="12">
                  <c:v>0.43415783133577501</c:v>
                </c:pt>
                <c:pt idx="13">
                  <c:v>0.43644852863933248</c:v>
                </c:pt>
                <c:pt idx="14">
                  <c:v>0.43790267384536868</c:v>
                </c:pt>
                <c:pt idx="15">
                  <c:v>0.43808512229540536</c:v>
                </c:pt>
                <c:pt idx="16">
                  <c:v>0.4362640503439929</c:v>
                </c:pt>
                <c:pt idx="17">
                  <c:v>0.43150800139868001</c:v>
                </c:pt>
                <c:pt idx="18">
                  <c:v>0.42306548521580345</c:v>
                </c:pt>
                <c:pt idx="19">
                  <c:v>0.41095173677861252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CEC-4179-8451-9A30BF7AD6C5}"/>
            </c:ext>
          </c:extLst>
        </c:ser>
        <c:ser>
          <c:idx val="17"/>
          <c:order val="17"/>
          <c:tx>
            <c:strRef>
              <c:f>'CC examples - CAS'!$AM$38</c:f>
              <c:strCache>
                <c:ptCount val="1"/>
                <c:pt idx="0">
                  <c:v>201406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CAS'!$AM$39:$AM$59</c:f>
              <c:numCache>
                <c:formatCode>0%</c:formatCode>
                <c:ptCount val="21"/>
                <c:pt idx="0">
                  <c:v>0.61952822451029355</c:v>
                </c:pt>
                <c:pt idx="1">
                  <c:v>0.59536143764388749</c:v>
                </c:pt>
                <c:pt idx="2">
                  <c:v>0.57380676270585595</c:v>
                </c:pt>
                <c:pt idx="3">
                  <c:v>0.55460675276271709</c:v>
                </c:pt>
                <c:pt idx="4">
                  <c:v>0.53751421389593046</c:v>
                </c:pt>
                <c:pt idx="5">
                  <c:v>0.52232836392936299</c:v>
                </c:pt>
                <c:pt idx="6">
                  <c:v>0.50888340107208896</c:v>
                </c:pt>
                <c:pt idx="7">
                  <c:v>0.49704001901281941</c:v>
                </c:pt>
                <c:pt idx="8">
                  <c:v>0.48667911564936689</c:v>
                </c:pt>
                <c:pt idx="9">
                  <c:v>0.4776967759143706</c:v>
                </c:pt>
                <c:pt idx="10">
                  <c:v>0.4699989082356163</c:v>
                </c:pt>
                <c:pt idx="11">
                  <c:v>0.46349225425670065</c:v>
                </c:pt>
                <c:pt idx="12">
                  <c:v>0.45806548007650205</c:v>
                </c:pt>
                <c:pt idx="13">
                  <c:v>0.45354994996526649</c:v>
                </c:pt>
                <c:pt idx="14">
                  <c:v>0.44964743793686429</c:v>
                </c:pt>
                <c:pt idx="15">
                  <c:v>0.44582152007783066</c:v>
                </c:pt>
                <c:pt idx="16">
                  <c:v>0.44119308521752215</c:v>
                </c:pt>
                <c:pt idx="17">
                  <c:v>0.43457648756174805</c:v>
                </c:pt>
                <c:pt idx="18">
                  <c:v>0.42486543059728438</c:v>
                </c:pt>
                <c:pt idx="19">
                  <c:v>0.41176325332972469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CEC-4179-8451-9A30BF7AD6C5}"/>
            </c:ext>
          </c:extLst>
        </c:ser>
        <c:ser>
          <c:idx val="18"/>
          <c:order val="18"/>
          <c:tx>
            <c:strRef>
              <c:f>'CC examples - CAS'!$AN$38</c:f>
              <c:strCache>
                <c:ptCount val="1"/>
                <c:pt idx="0">
                  <c:v>201409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CAS'!$AN$39:$AN$59</c:f>
              <c:numCache>
                <c:formatCode>0%</c:formatCode>
                <c:ptCount val="21"/>
                <c:pt idx="0">
                  <c:v>0.39022383843740582</c:v>
                </c:pt>
                <c:pt idx="1">
                  <c:v>0.39777554534042125</c:v>
                </c:pt>
                <c:pt idx="2">
                  <c:v>0.40381381231479035</c:v>
                </c:pt>
                <c:pt idx="3">
                  <c:v>0.40863445946292165</c:v>
                </c:pt>
                <c:pt idx="4">
                  <c:v>0.41248038912888335</c:v>
                </c:pt>
                <c:pt idx="5">
                  <c:v>0.41554980301749145</c:v>
                </c:pt>
                <c:pt idx="6">
                  <c:v>0.41801219403718076</c:v>
                </c:pt>
                <c:pt idx="7">
                  <c:v>0.42001832353040353</c:v>
                </c:pt>
                <c:pt idx="8">
                  <c:v>0.42170615709079934</c:v>
                </c:pt>
                <c:pt idx="9">
                  <c:v>0.42320387579938662</c:v>
                </c:pt>
                <c:pt idx="10">
                  <c:v>0.42463001806323109</c:v>
                </c:pt>
                <c:pt idx="11">
                  <c:v>0.42608881830448936</c:v>
                </c:pt>
                <c:pt idx="12">
                  <c:v>0.42765493979588493</c:v>
                </c:pt>
                <c:pt idx="13">
                  <c:v>0.42933540586466601</c:v>
                </c:pt>
                <c:pt idx="14">
                  <c:v>0.43098960380948936</c:v>
                </c:pt>
                <c:pt idx="15">
                  <c:v>0.43219212195845919</c:v>
                </c:pt>
                <c:pt idx="16">
                  <c:v>0.43207007662325853</c:v>
                </c:pt>
                <c:pt idx="17">
                  <c:v>0.42927919520070673</c:v>
                </c:pt>
                <c:pt idx="18">
                  <c:v>0.42242960950761427</c:v>
                </c:pt>
                <c:pt idx="19">
                  <c:v>0.41104205880480582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CEC-4179-8451-9A30BF7AD6C5}"/>
            </c:ext>
          </c:extLst>
        </c:ser>
        <c:ser>
          <c:idx val="19"/>
          <c:order val="19"/>
          <c:tx>
            <c:strRef>
              <c:f>'CC examples - CAS'!$AO$38</c:f>
              <c:strCache>
                <c:ptCount val="1"/>
                <c:pt idx="0">
                  <c:v>201412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'CC examples - CAS'!$S$39:$S$59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CAS'!$AO$39:$AO$59</c:f>
              <c:numCache>
                <c:formatCode>0%</c:formatCode>
                <c:ptCount val="21"/>
                <c:pt idx="0">
                  <c:v>0.31527530096537953</c:v>
                </c:pt>
                <c:pt idx="1">
                  <c:v>0.32017356890349069</c:v>
                </c:pt>
                <c:pt idx="2">
                  <c:v>0.32609880073293873</c:v>
                </c:pt>
                <c:pt idx="3">
                  <c:v>0.33279469178615534</c:v>
                </c:pt>
                <c:pt idx="4">
                  <c:v>0.34004116463228207</c:v>
                </c:pt>
                <c:pt idx="5">
                  <c:v>0.34764612459689503</c:v>
                </c:pt>
                <c:pt idx="6">
                  <c:v>0.35544687028797117</c:v>
                </c:pt>
                <c:pt idx="7">
                  <c:v>0.3633115506483009</c:v>
                </c:pt>
                <c:pt idx="8">
                  <c:v>0.37113993349383639</c:v>
                </c:pt>
                <c:pt idx="9">
                  <c:v>0.37886290527889077</c:v>
                </c:pt>
                <c:pt idx="10">
                  <c:v>0.38643987026505988</c:v>
                </c:pt>
                <c:pt idx="11">
                  <c:v>0.39385181750879356</c:v>
                </c:pt>
                <c:pt idx="12">
                  <c:v>0.40108398307317411</c:v>
                </c:pt>
                <c:pt idx="13">
                  <c:v>0.40808442085125096</c:v>
                </c:pt>
                <c:pt idx="14">
                  <c:v>0.41467475359132977</c:v>
                </c:pt>
                <c:pt idx="15">
                  <c:v>0.42038942650725275</c:v>
                </c:pt>
                <c:pt idx="16">
                  <c:v>0.4242698578608744</c:v>
                </c:pt>
                <c:pt idx="17">
                  <c:v>0.42480075553493846</c:v>
                </c:pt>
                <c:pt idx="18">
                  <c:v>0.42037544325971388</c:v>
                </c:pt>
                <c:pt idx="19">
                  <c:v>0.41042175903613576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CEC-4179-8451-9A30BF7AD6C5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469825744"/>
        <c:axId val="1469824496"/>
        <c:axId val="1386358144"/>
      </c:surface3DChart>
      <c:catAx>
        <c:axId val="146982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824496"/>
        <c:crosses val="autoZero"/>
        <c:auto val="1"/>
        <c:lblAlgn val="ctr"/>
        <c:lblOffset val="100"/>
        <c:noMultiLvlLbl val="0"/>
      </c:catAx>
      <c:valAx>
        <c:axId val="146982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825744"/>
        <c:crosses val="autoZero"/>
        <c:crossBetween val="midCat"/>
      </c:valAx>
      <c:serAx>
        <c:axId val="13863581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82449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'CC examples - CAS'!$I$30</c:f>
              <c:strCache>
                <c:ptCount val="1"/>
                <c:pt idx="0">
                  <c:v> IELR - CC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'CC examples - CAS'!$B$31:$B$50</c:f>
              <c:strCache>
                <c:ptCount val="20"/>
                <c:pt idx="0">
                  <c:v>201003</c:v>
                </c:pt>
                <c:pt idx="1">
                  <c:v>201006</c:v>
                </c:pt>
                <c:pt idx="2">
                  <c:v>201009</c:v>
                </c:pt>
                <c:pt idx="3">
                  <c:v>201012</c:v>
                </c:pt>
                <c:pt idx="4">
                  <c:v>201103</c:v>
                </c:pt>
                <c:pt idx="5">
                  <c:v>201106</c:v>
                </c:pt>
                <c:pt idx="6">
                  <c:v>201109</c:v>
                </c:pt>
                <c:pt idx="7">
                  <c:v>201112</c:v>
                </c:pt>
                <c:pt idx="8">
                  <c:v>201203</c:v>
                </c:pt>
                <c:pt idx="9">
                  <c:v>201206</c:v>
                </c:pt>
                <c:pt idx="10">
                  <c:v>201209</c:v>
                </c:pt>
                <c:pt idx="11">
                  <c:v>201212</c:v>
                </c:pt>
                <c:pt idx="12">
                  <c:v>201303</c:v>
                </c:pt>
                <c:pt idx="13">
                  <c:v>201306</c:v>
                </c:pt>
                <c:pt idx="14">
                  <c:v>201309</c:v>
                </c:pt>
                <c:pt idx="15">
                  <c:v>201312</c:v>
                </c:pt>
                <c:pt idx="16">
                  <c:v>201403</c:v>
                </c:pt>
                <c:pt idx="17">
                  <c:v>201406</c:v>
                </c:pt>
                <c:pt idx="18">
                  <c:v>201409</c:v>
                </c:pt>
                <c:pt idx="19">
                  <c:v>201412</c:v>
                </c:pt>
              </c:strCache>
            </c:strRef>
          </c:cat>
          <c:val>
            <c:numRef>
              <c:f>'CC examples - CAS'!$I$31:$I$50</c:f>
              <c:numCache>
                <c:formatCode>0%</c:formatCode>
                <c:ptCount val="20"/>
                <c:pt idx="0">
                  <c:v>0.37774276115336408</c:v>
                </c:pt>
                <c:pt idx="1">
                  <c:v>0.37779514016872484</c:v>
                </c:pt>
                <c:pt idx="2">
                  <c:v>0.37841871887310402</c:v>
                </c:pt>
                <c:pt idx="3">
                  <c:v>0.37926264916332275</c:v>
                </c:pt>
                <c:pt idx="4">
                  <c:v>0.3805457487221624</c:v>
                </c:pt>
                <c:pt idx="5">
                  <c:v>0.38186029947737987</c:v>
                </c:pt>
                <c:pt idx="6">
                  <c:v>0.38330768913555568</c:v>
                </c:pt>
                <c:pt idx="7">
                  <c:v>0.38450942970984026</c:v>
                </c:pt>
                <c:pt idx="8">
                  <c:v>0.38515834093580936</c:v>
                </c:pt>
                <c:pt idx="9">
                  <c:v>0.38611425643100616</c:v>
                </c:pt>
                <c:pt idx="10">
                  <c:v>0.38700679521953257</c:v>
                </c:pt>
                <c:pt idx="11">
                  <c:v>0.3875995924624242</c:v>
                </c:pt>
                <c:pt idx="12">
                  <c:v>0.38818207631900897</c:v>
                </c:pt>
                <c:pt idx="13">
                  <c:v>0.38881690415077347</c:v>
                </c:pt>
                <c:pt idx="14">
                  <c:v>0.38874102100059449</c:v>
                </c:pt>
                <c:pt idx="15">
                  <c:v>0.38888042530212535</c:v>
                </c:pt>
                <c:pt idx="16">
                  <c:v>0.38879139456023465</c:v>
                </c:pt>
                <c:pt idx="17">
                  <c:v>0.38897257639493799</c:v>
                </c:pt>
                <c:pt idx="18">
                  <c:v>0.38882887681627143</c:v>
                </c:pt>
                <c:pt idx="19">
                  <c:v>0.38866796957168626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08-4E3B-9711-15D06B42259D}"/>
            </c:ext>
          </c:extLst>
        </c:ser>
        <c:ser>
          <c:idx val="1"/>
          <c:order val="1"/>
          <c:tx>
            <c:strRef>
              <c:f>'CC examples - CAS'!$H$30</c:f>
              <c:strCache>
                <c:ptCount val="1"/>
                <c:pt idx="0">
                  <c:v> ULR - CL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'CC examples - CAS'!$B$31:$B$50</c:f>
              <c:strCache>
                <c:ptCount val="20"/>
                <c:pt idx="0">
                  <c:v>201003</c:v>
                </c:pt>
                <c:pt idx="1">
                  <c:v>201006</c:v>
                </c:pt>
                <c:pt idx="2">
                  <c:v>201009</c:v>
                </c:pt>
                <c:pt idx="3">
                  <c:v>201012</c:v>
                </c:pt>
                <c:pt idx="4">
                  <c:v>201103</c:v>
                </c:pt>
                <c:pt idx="5">
                  <c:v>201106</c:v>
                </c:pt>
                <c:pt idx="6">
                  <c:v>201109</c:v>
                </c:pt>
                <c:pt idx="7">
                  <c:v>201112</c:v>
                </c:pt>
                <c:pt idx="8">
                  <c:v>201203</c:v>
                </c:pt>
                <c:pt idx="9">
                  <c:v>201206</c:v>
                </c:pt>
                <c:pt idx="10">
                  <c:v>201209</c:v>
                </c:pt>
                <c:pt idx="11">
                  <c:v>201212</c:v>
                </c:pt>
                <c:pt idx="12">
                  <c:v>201303</c:v>
                </c:pt>
                <c:pt idx="13">
                  <c:v>201306</c:v>
                </c:pt>
                <c:pt idx="14">
                  <c:v>201309</c:v>
                </c:pt>
                <c:pt idx="15">
                  <c:v>201312</c:v>
                </c:pt>
                <c:pt idx="16">
                  <c:v>201403</c:v>
                </c:pt>
                <c:pt idx="17">
                  <c:v>201406</c:v>
                </c:pt>
                <c:pt idx="18">
                  <c:v>201409</c:v>
                </c:pt>
                <c:pt idx="19">
                  <c:v>201412</c:v>
                </c:pt>
              </c:strCache>
            </c:strRef>
          </c:cat>
          <c:val>
            <c:numRef>
              <c:f>'CC examples - CAS'!$H$31:$H$50</c:f>
              <c:numCache>
                <c:formatCode>0%</c:formatCode>
                <c:ptCount val="20"/>
                <c:pt idx="0">
                  <c:v>0.36340171886299477</c:v>
                </c:pt>
                <c:pt idx="1">
                  <c:v>0.22108892665899485</c:v>
                </c:pt>
                <c:pt idx="2">
                  <c:v>0.31119273418066007</c:v>
                </c:pt>
                <c:pt idx="3">
                  <c:v>0.24576566517029719</c:v>
                </c:pt>
                <c:pt idx="4">
                  <c:v>0.36643116060768877</c:v>
                </c:pt>
                <c:pt idx="5">
                  <c:v>0.33319151396483226</c:v>
                </c:pt>
                <c:pt idx="6">
                  <c:v>0.50240846154066587</c:v>
                </c:pt>
                <c:pt idx="7">
                  <c:v>0.72196469131808694</c:v>
                </c:pt>
                <c:pt idx="8">
                  <c:v>0.18684245113798767</c:v>
                </c:pt>
                <c:pt idx="9">
                  <c:v>0.43339360556006956</c:v>
                </c:pt>
                <c:pt idx="10">
                  <c:v>0.57276747365538272</c:v>
                </c:pt>
                <c:pt idx="11">
                  <c:v>0.39705862248679447</c:v>
                </c:pt>
                <c:pt idx="12">
                  <c:v>0.36465080117097154</c:v>
                </c:pt>
                <c:pt idx="13">
                  <c:v>0.77976243780778609</c:v>
                </c:pt>
                <c:pt idx="14">
                  <c:v>0.29512408946171331</c:v>
                </c:pt>
                <c:pt idx="15">
                  <c:v>0.49510119970837524</c:v>
                </c:pt>
                <c:pt idx="16">
                  <c:v>0.26661931345802742</c:v>
                </c:pt>
                <c:pt idx="17">
                  <c:v>0.53271335945209786</c:v>
                </c:pt>
                <c:pt idx="18">
                  <c:v>0.39519906500545415</c:v>
                </c:pt>
                <c:pt idx="19">
                  <c:v>0.24761996160147401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08-4E3B-9711-15D06B422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2418672"/>
        <c:axId val="1872423248"/>
      </c:lineChart>
      <c:catAx>
        <c:axId val="187241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423248"/>
        <c:crosses val="autoZero"/>
        <c:auto val="1"/>
        <c:lblAlgn val="ctr"/>
        <c:lblOffset val="100"/>
        <c:noMultiLvlLbl val="0"/>
      </c:catAx>
      <c:valAx>
        <c:axId val="187242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41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'CC examples - CAS'!$AR$30</c:f>
              <c:strCache>
                <c:ptCount val="1"/>
                <c:pt idx="0">
                  <c:v>t - 80%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'CC examples - CAS'!$B$54:$B$73</c:f>
              <c:strCache>
                <c:ptCount val="20"/>
                <c:pt idx="0">
                  <c:v>201003</c:v>
                </c:pt>
                <c:pt idx="1">
                  <c:v>201006</c:v>
                </c:pt>
                <c:pt idx="2">
                  <c:v>201009</c:v>
                </c:pt>
                <c:pt idx="3">
                  <c:v>201012</c:v>
                </c:pt>
                <c:pt idx="4">
                  <c:v>201103</c:v>
                </c:pt>
                <c:pt idx="5">
                  <c:v>201106</c:v>
                </c:pt>
                <c:pt idx="6">
                  <c:v>201109</c:v>
                </c:pt>
                <c:pt idx="7">
                  <c:v>201112</c:v>
                </c:pt>
                <c:pt idx="8">
                  <c:v>201203</c:v>
                </c:pt>
                <c:pt idx="9">
                  <c:v>201206</c:v>
                </c:pt>
                <c:pt idx="10">
                  <c:v>201209</c:v>
                </c:pt>
                <c:pt idx="11">
                  <c:v>201212</c:v>
                </c:pt>
                <c:pt idx="12">
                  <c:v>201303</c:v>
                </c:pt>
                <c:pt idx="13">
                  <c:v>201306</c:v>
                </c:pt>
                <c:pt idx="14">
                  <c:v>201309</c:v>
                </c:pt>
                <c:pt idx="15">
                  <c:v>201312</c:v>
                </c:pt>
                <c:pt idx="16">
                  <c:v>201403</c:v>
                </c:pt>
                <c:pt idx="17">
                  <c:v>201406</c:v>
                </c:pt>
                <c:pt idx="18">
                  <c:v>201409</c:v>
                </c:pt>
                <c:pt idx="19">
                  <c:v>201412</c:v>
                </c:pt>
              </c:strCache>
            </c:strRef>
          </c:cat>
          <c:val>
            <c:numRef>
              <c:f>'CC examples - CAS'!$AR$31:$AR$50</c:f>
              <c:numCache>
                <c:formatCode>0%</c:formatCode>
                <c:ptCount val="20"/>
                <c:pt idx="0">
                  <c:v>0.37774276115336408</c:v>
                </c:pt>
                <c:pt idx="1">
                  <c:v>0.37779514016872484</c:v>
                </c:pt>
                <c:pt idx="2">
                  <c:v>0.37841871887310402</c:v>
                </c:pt>
                <c:pt idx="3">
                  <c:v>0.37926264916332275</c:v>
                </c:pt>
                <c:pt idx="4">
                  <c:v>0.3805457487221624</c:v>
                </c:pt>
                <c:pt idx="5">
                  <c:v>0.38186029947737987</c:v>
                </c:pt>
                <c:pt idx="6">
                  <c:v>0.38330768913555568</c:v>
                </c:pt>
                <c:pt idx="7">
                  <c:v>0.38450942970984026</c:v>
                </c:pt>
                <c:pt idx="8">
                  <c:v>0.38515834093580936</c:v>
                </c:pt>
                <c:pt idx="9">
                  <c:v>0.38611425643100616</c:v>
                </c:pt>
                <c:pt idx="10">
                  <c:v>0.38700679521953257</c:v>
                </c:pt>
                <c:pt idx="11">
                  <c:v>0.3875995924624242</c:v>
                </c:pt>
                <c:pt idx="12">
                  <c:v>0.38818207631900897</c:v>
                </c:pt>
                <c:pt idx="13">
                  <c:v>0.38881690415077347</c:v>
                </c:pt>
                <c:pt idx="14">
                  <c:v>0.38874102100059449</c:v>
                </c:pt>
                <c:pt idx="15">
                  <c:v>0.38888042530212535</c:v>
                </c:pt>
                <c:pt idx="16">
                  <c:v>0.38879139456023465</c:v>
                </c:pt>
                <c:pt idx="17">
                  <c:v>0.38897257639493799</c:v>
                </c:pt>
                <c:pt idx="18">
                  <c:v>0.38882887681627143</c:v>
                </c:pt>
                <c:pt idx="19">
                  <c:v>0.38866796957168626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E1-4C2B-A6A1-0B20B26AD635}"/>
            </c:ext>
          </c:extLst>
        </c:ser>
        <c:ser>
          <c:idx val="1"/>
          <c:order val="1"/>
          <c:tx>
            <c:strRef>
              <c:f>'CC examples - CAS'!$AS$30</c:f>
              <c:strCache>
                <c:ptCount val="1"/>
                <c:pt idx="0">
                  <c:v>t+1 - 80%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'CC examples - CAS'!$B$54:$B$73</c:f>
              <c:strCache>
                <c:ptCount val="20"/>
                <c:pt idx="0">
                  <c:v>201003</c:v>
                </c:pt>
                <c:pt idx="1">
                  <c:v>201006</c:v>
                </c:pt>
                <c:pt idx="2">
                  <c:v>201009</c:v>
                </c:pt>
                <c:pt idx="3">
                  <c:v>201012</c:v>
                </c:pt>
                <c:pt idx="4">
                  <c:v>201103</c:v>
                </c:pt>
                <c:pt idx="5">
                  <c:v>201106</c:v>
                </c:pt>
                <c:pt idx="6">
                  <c:v>201109</c:v>
                </c:pt>
                <c:pt idx="7">
                  <c:v>201112</c:v>
                </c:pt>
                <c:pt idx="8">
                  <c:v>201203</c:v>
                </c:pt>
                <c:pt idx="9">
                  <c:v>201206</c:v>
                </c:pt>
                <c:pt idx="10">
                  <c:v>201209</c:v>
                </c:pt>
                <c:pt idx="11">
                  <c:v>201212</c:v>
                </c:pt>
                <c:pt idx="12">
                  <c:v>201303</c:v>
                </c:pt>
                <c:pt idx="13">
                  <c:v>201306</c:v>
                </c:pt>
                <c:pt idx="14">
                  <c:v>201309</c:v>
                </c:pt>
                <c:pt idx="15">
                  <c:v>201312</c:v>
                </c:pt>
                <c:pt idx="16">
                  <c:v>201403</c:v>
                </c:pt>
                <c:pt idx="17">
                  <c:v>201406</c:v>
                </c:pt>
                <c:pt idx="18">
                  <c:v>201409</c:v>
                </c:pt>
                <c:pt idx="19">
                  <c:v>201412</c:v>
                </c:pt>
              </c:strCache>
            </c:strRef>
          </c:cat>
          <c:val>
            <c:numRef>
              <c:f>'CC examples - CAS'!$AS$31:$AS$50</c:f>
              <c:numCache>
                <c:formatCode>General</c:formatCode>
                <c:ptCount val="20"/>
                <c:pt idx="0">
                  <c:v>0.33566776677017346</c:v>
                </c:pt>
                <c:pt idx="1">
                  <c:v>0.33268928786193347</c:v>
                </c:pt>
                <c:pt idx="2">
                  <c:v>0.33980969816385376</c:v>
                </c:pt>
                <c:pt idx="3">
                  <c:v>0.34838186015796196</c:v>
                </c:pt>
                <c:pt idx="4">
                  <c:v>0.36508935421002259</c:v>
                </c:pt>
                <c:pt idx="5">
                  <c:v>0.38216417764094945</c:v>
                </c:pt>
                <c:pt idx="6">
                  <c:v>0.40366299725446919</c:v>
                </c:pt>
                <c:pt idx="7">
                  <c:v>0.41760756479799038</c:v>
                </c:pt>
                <c:pt idx="8">
                  <c:v>0.41695478805288427</c:v>
                </c:pt>
                <c:pt idx="9">
                  <c:v>0.42513180156861863</c:v>
                </c:pt>
                <c:pt idx="10">
                  <c:v>0.43337712831301017</c:v>
                </c:pt>
                <c:pt idx="11">
                  <c:v>0.43534893558940613</c:v>
                </c:pt>
                <c:pt idx="12">
                  <c:v>0.43960522913347599</c:v>
                </c:pt>
                <c:pt idx="13">
                  <c:v>0.44892408822126517</c:v>
                </c:pt>
                <c:pt idx="14">
                  <c:v>0.43972320410566862</c:v>
                </c:pt>
                <c:pt idx="15">
                  <c:v>0.43933331163825351</c:v>
                </c:pt>
                <c:pt idx="16">
                  <c:v>0.4362640503439929</c:v>
                </c:pt>
                <c:pt idx="17">
                  <c:v>0.44119308521752215</c:v>
                </c:pt>
                <c:pt idx="18">
                  <c:v>0.43207007662325853</c:v>
                </c:pt>
                <c:pt idx="19">
                  <c:v>0.4242698578608744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E1-4C2B-A6A1-0B20B26AD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2970928"/>
        <c:axId val="1962971760"/>
      </c:lineChart>
      <c:catAx>
        <c:axId val="196297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971760"/>
        <c:crosses val="autoZero"/>
        <c:auto val="1"/>
        <c:lblAlgn val="ctr"/>
        <c:lblOffset val="100"/>
        <c:noMultiLvlLbl val="0"/>
      </c:catAx>
      <c:valAx>
        <c:axId val="1962971760"/>
        <c:scaling>
          <c:orientation val="minMax"/>
          <c:min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97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'CC examples - CAS + Mod 1'!$V$38</c:f>
              <c:strCache>
                <c:ptCount val="1"/>
                <c:pt idx="0">
                  <c:v>201003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1'!$V$39:$V$59</c:f>
              <c:numCache>
                <c:formatCode>0%</c:formatCode>
                <c:ptCount val="21"/>
                <c:pt idx="0">
                  <c:v>0.36750314098335873</c:v>
                </c:pt>
                <c:pt idx="1">
                  <c:v>0.36047527381157379</c:v>
                </c:pt>
                <c:pt idx="2">
                  <c:v>0.35385146865373718</c:v>
                </c:pt>
                <c:pt idx="3">
                  <c:v>0.34761722212797558</c:v>
                </c:pt>
                <c:pt idx="4">
                  <c:v>0.34176249287454813</c:v>
                </c:pt>
                <c:pt idx="5">
                  <c:v>0.3362985560494281</c:v>
                </c:pt>
                <c:pt idx="6">
                  <c:v>0.33126095821608598</c:v>
                </c:pt>
                <c:pt idx="7">
                  <c:v>0.32671253611081652</c:v>
                </c:pt>
                <c:pt idx="8">
                  <c:v>0.32274605041187576</c:v>
                </c:pt>
                <c:pt idx="9">
                  <c:v>0.31948632437219038</c:v>
                </c:pt>
                <c:pt idx="10">
                  <c:v>0.31709237223943587</c:v>
                </c:pt>
                <c:pt idx="11">
                  <c:v>0.31576082157118301</c:v>
                </c:pt>
                <c:pt idx="12">
                  <c:v>0.31573271095169092</c:v>
                </c:pt>
                <c:pt idx="13">
                  <c:v>0.31730556209806471</c:v>
                </c:pt>
                <c:pt idx="14">
                  <c:v>0.32084903565631595</c:v>
                </c:pt>
                <c:pt idx="15">
                  <c:v>0.32681032139818905</c:v>
                </c:pt>
                <c:pt idx="16">
                  <c:v>0.33566776677017346</c:v>
                </c:pt>
                <c:pt idx="17">
                  <c:v>0.3477523669719349</c:v>
                </c:pt>
                <c:pt idx="18">
                  <c:v>0.36286332685260708</c:v>
                </c:pt>
                <c:pt idx="19">
                  <c:v>0.37979526186592399</c:v>
                </c:pt>
                <c:pt idx="20">
                  <c:v>0.39627951295395819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1A-49CF-94BF-91502C30256B}"/>
            </c:ext>
          </c:extLst>
        </c:ser>
        <c:ser>
          <c:idx val="1"/>
          <c:order val="1"/>
          <c:tx>
            <c:strRef>
              <c:f>'CC examples - CAS + Mod 1'!$W$38</c:f>
              <c:strCache>
                <c:ptCount val="1"/>
                <c:pt idx="0">
                  <c:v>201006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1'!$W$39:$W$59</c:f>
              <c:numCache>
                <c:formatCode>0%</c:formatCode>
                <c:ptCount val="21"/>
                <c:pt idx="0">
                  <c:v>0.22360616338896205</c:v>
                </c:pt>
                <c:pt idx="1">
                  <c:v>0.23399583315805386</c:v>
                </c:pt>
                <c:pt idx="2">
                  <c:v>0.24273534680768818</c:v>
                </c:pt>
                <c:pt idx="3">
                  <c:v>0.25017403808873001</c:v>
                </c:pt>
                <c:pt idx="4">
                  <c:v>0.25660543882866044</c:v>
                </c:pt>
                <c:pt idx="5">
                  <c:v>0.26227223042843018</c:v>
                </c:pt>
                <c:pt idx="6">
                  <c:v>0.26738517417391749</c:v>
                </c:pt>
                <c:pt idx="7">
                  <c:v>0.27213628598682976</c:v>
                </c:pt>
                <c:pt idx="8">
                  <c:v>0.27670838791382718</c:v>
                </c:pt>
                <c:pt idx="9">
                  <c:v>0.28128277082700542</c:v>
                </c:pt>
                <c:pt idx="10">
                  <c:v>0.28604664948470376</c:v>
                </c:pt>
                <c:pt idx="11">
                  <c:v>0.29120222508839383</c:v>
                </c:pt>
                <c:pt idx="12">
                  <c:v>0.29697917461086837</c:v>
                </c:pt>
                <c:pt idx="13">
                  <c:v>0.30365141372893673</c:v>
                </c:pt>
                <c:pt idx="14">
                  <c:v>0.31155497459250825</c:v>
                </c:pt>
                <c:pt idx="15">
                  <c:v>0.32109277873862085</c:v>
                </c:pt>
                <c:pt idx="16">
                  <c:v>0.33268928786193347</c:v>
                </c:pt>
                <c:pt idx="17">
                  <c:v>0.34662910886694343</c:v>
                </c:pt>
                <c:pt idx="18">
                  <c:v>0.36272598552801155</c:v>
                </c:pt>
                <c:pt idx="19">
                  <c:v>0.37992904324867521</c:v>
                </c:pt>
                <c:pt idx="20">
                  <c:v>0.39627951295395836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1A-49CF-94BF-91502C30256B}"/>
            </c:ext>
          </c:extLst>
        </c:ser>
        <c:ser>
          <c:idx val="2"/>
          <c:order val="2"/>
          <c:tx>
            <c:strRef>
              <c:f>'CC examples - CAS + Mod 1'!$X$38</c:f>
              <c:strCache>
                <c:ptCount val="1"/>
                <c:pt idx="0">
                  <c:v>201009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1'!$X$39:$X$59</c:f>
              <c:numCache>
                <c:formatCode>0%</c:formatCode>
                <c:ptCount val="21"/>
                <c:pt idx="0">
                  <c:v>0.31213611634502886</c:v>
                </c:pt>
                <c:pt idx="1">
                  <c:v>0.30504130816220171</c:v>
                </c:pt>
                <c:pt idx="2">
                  <c:v>0.29974114771169214</c:v>
                </c:pt>
                <c:pt idx="3">
                  <c:v>0.29596091056112511</c:v>
                </c:pt>
                <c:pt idx="4">
                  <c:v>0.29347376379870366</c:v>
                </c:pt>
                <c:pt idx="5">
                  <c:v>0.2921075843629321</c:v>
                </c:pt>
                <c:pt idx="6">
                  <c:v>0.2917358438665395</c:v>
                </c:pt>
                <c:pt idx="7">
                  <c:v>0.2922698716851434</c:v>
                </c:pt>
                <c:pt idx="8">
                  <c:v>0.29365316971637428</c:v>
                </c:pt>
                <c:pt idx="9">
                  <c:v>0.29585832968737763</c:v>
                </c:pt>
                <c:pt idx="10">
                  <c:v>0.29888715716080488</c:v>
                </c:pt>
                <c:pt idx="11">
                  <c:v>0.30277470758172487</c:v>
                </c:pt>
                <c:pt idx="12">
                  <c:v>0.30759779271479487</c:v>
                </c:pt>
                <c:pt idx="13">
                  <c:v>0.31348739953086902</c:v>
                </c:pt>
                <c:pt idx="14">
                  <c:v>0.3206408161215018</c:v>
                </c:pt>
                <c:pt idx="15">
                  <c:v>0.32932040938496288</c:v>
                </c:pt>
                <c:pt idx="16">
                  <c:v>0.33980969816385376</c:v>
                </c:pt>
                <c:pt idx="17">
                  <c:v>0.35227988886466438</c:v>
                </c:pt>
                <c:pt idx="18">
                  <c:v>0.36653540205759577</c:v>
                </c:pt>
                <c:pt idx="19">
                  <c:v>0.38172142221926697</c:v>
                </c:pt>
                <c:pt idx="20">
                  <c:v>0.39627951295395836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1A-49CF-94BF-91502C30256B}"/>
            </c:ext>
          </c:extLst>
        </c:ser>
        <c:ser>
          <c:idx val="3"/>
          <c:order val="3"/>
          <c:tx>
            <c:strRef>
              <c:f>'CC examples - CAS + Mod 1'!$Y$38</c:f>
              <c:strCache>
                <c:ptCount val="1"/>
                <c:pt idx="0">
                  <c:v>201012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1'!$Y$39:$Y$59</c:f>
              <c:numCache>
                <c:formatCode>0%</c:formatCode>
                <c:ptCount val="21"/>
                <c:pt idx="0">
                  <c:v>0.24019259388891381</c:v>
                </c:pt>
                <c:pt idx="1">
                  <c:v>0.24905765454578085</c:v>
                </c:pt>
                <c:pt idx="2">
                  <c:v>0.25674473292819311</c:v>
                </c:pt>
                <c:pt idx="3">
                  <c:v>0.26356465843055737</c:v>
                </c:pt>
                <c:pt idx="4">
                  <c:v>0.26978042921037465</c:v>
                </c:pt>
                <c:pt idx="5">
                  <c:v>0.27559962759101403</c:v>
                </c:pt>
                <c:pt idx="6">
                  <c:v>0.2811849151756145</c:v>
                </c:pt>
                <c:pt idx="7">
                  <c:v>0.28666399119334007</c:v>
                </c:pt>
                <c:pt idx="8">
                  <c:v>0.2921394115412882</c:v>
                </c:pt>
                <c:pt idx="9">
                  <c:v>0.29769865526506534</c:v>
                </c:pt>
                <c:pt idx="10">
                  <c:v>0.30342489344865514</c:v>
                </c:pt>
                <c:pt idx="11">
                  <c:v>0.30940891872212123</c:v>
                </c:pt>
                <c:pt idx="12">
                  <c:v>0.31576236400805641</c:v>
                </c:pt>
                <c:pt idx="13">
                  <c:v>0.32263113248878389</c:v>
                </c:pt>
                <c:pt idx="14">
                  <c:v>0.33020489271995085</c:v>
                </c:pt>
                <c:pt idx="15">
                  <c:v>0.33871226902195301</c:v>
                </c:pt>
                <c:pt idx="16">
                  <c:v>0.34838186015796196</c:v>
                </c:pt>
                <c:pt idx="17">
                  <c:v>0.35934250213336549</c:v>
                </c:pt>
                <c:pt idx="18">
                  <c:v>0.37145286973465408</c:v>
                </c:pt>
                <c:pt idx="19">
                  <c:v>0.38412094743090963</c:v>
                </c:pt>
                <c:pt idx="20">
                  <c:v>0.39627951295395819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1A-49CF-94BF-91502C30256B}"/>
            </c:ext>
          </c:extLst>
        </c:ser>
        <c:ser>
          <c:idx val="4"/>
          <c:order val="4"/>
          <c:tx>
            <c:strRef>
              <c:f>'CC examples - CAS + Mod 1'!$Z$38</c:f>
              <c:strCache>
                <c:ptCount val="1"/>
                <c:pt idx="0">
                  <c:v>201103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1'!$Z$39:$Z$59</c:f>
              <c:numCache>
                <c:formatCode>0%</c:formatCode>
                <c:ptCount val="21"/>
                <c:pt idx="0">
                  <c:v>0.36228628988442541</c:v>
                </c:pt>
                <c:pt idx="1">
                  <c:v>0.35566824463385249</c:v>
                </c:pt>
                <c:pt idx="2">
                  <c:v>0.35060432055913199</c:v>
                </c:pt>
                <c:pt idx="3">
                  <c:v>0.3468724170266273</c:v>
                </c:pt>
                <c:pt idx="4">
                  <c:v>0.3442683209887909</c:v>
                </c:pt>
                <c:pt idx="5">
                  <c:v>0.34261643427095267</c:v>
                </c:pt>
                <c:pt idx="6">
                  <c:v>0.34176728121849359</c:v>
                </c:pt>
                <c:pt idx="7">
                  <c:v>0.34159658326705195</c:v>
                </c:pt>
                <c:pt idx="8">
                  <c:v>0.34200575031003078</c:v>
                </c:pt>
                <c:pt idx="9">
                  <c:v>0.34292371972761881</c:v>
                </c:pt>
                <c:pt idx="10">
                  <c:v>0.34431012773430791</c:v>
                </c:pt>
                <c:pt idx="11">
                  <c:v>0.3461597420391983</c:v>
                </c:pt>
                <c:pt idx="12">
                  <c:v>0.34850773659047951</c:v>
                </c:pt>
                <c:pt idx="13">
                  <c:v>0.35143440693643352</c:v>
                </c:pt>
                <c:pt idx="14">
                  <c:v>0.35506580761328005</c:v>
                </c:pt>
                <c:pt idx="15">
                  <c:v>0.3595631476318098</c:v>
                </c:pt>
                <c:pt idx="16">
                  <c:v>0.36508935421002259</c:v>
                </c:pt>
                <c:pt idx="17">
                  <c:v>0.37174023139350931</c:v>
                </c:pt>
                <c:pt idx="18">
                  <c:v>0.37944001896301416</c:v>
                </c:pt>
                <c:pt idx="19">
                  <c:v>0.38783692988165536</c:v>
                </c:pt>
                <c:pt idx="20">
                  <c:v>0.39627951295395819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1A-49CF-94BF-91502C30256B}"/>
            </c:ext>
          </c:extLst>
        </c:ser>
        <c:ser>
          <c:idx val="5"/>
          <c:order val="5"/>
          <c:tx>
            <c:strRef>
              <c:f>'CC examples - CAS + Mod 1'!$AA$38</c:f>
              <c:strCache>
                <c:ptCount val="1"/>
                <c:pt idx="0">
                  <c:v>201106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1'!$AA$39:$AA$59</c:f>
              <c:numCache>
                <c:formatCode>0%</c:formatCode>
                <c:ptCount val="21"/>
                <c:pt idx="0">
                  <c:v>0.33400362553051194</c:v>
                </c:pt>
                <c:pt idx="1">
                  <c:v>0.34366082527367964</c:v>
                </c:pt>
                <c:pt idx="2">
                  <c:v>0.35214876857983002</c:v>
                </c:pt>
                <c:pt idx="3">
                  <c:v>0.35944464241197882</c:v>
                </c:pt>
                <c:pt idx="4">
                  <c:v>0.36555882972776277</c:v>
                </c:pt>
                <c:pt idx="5">
                  <c:v>0.37051915537893743</c:v>
                </c:pt>
                <c:pt idx="6">
                  <c:v>0.37437486728447045</c:v>
                </c:pt>
                <c:pt idx="7">
                  <c:v>0.37719997608790207</c:v>
                </c:pt>
                <c:pt idx="8">
                  <c:v>0.37909584645370759</c:v>
                </c:pt>
                <c:pt idx="9">
                  <c:v>0.38019285152480242</c:v>
                </c:pt>
                <c:pt idx="10">
                  <c:v>0.38065096663380599</c:v>
                </c:pt>
                <c:pt idx="11">
                  <c:v>0.38065927493355761</c:v>
                </c:pt>
                <c:pt idx="12">
                  <c:v>0.38043428399487406</c:v>
                </c:pt>
                <c:pt idx="13">
                  <c:v>0.38021643852663911</c:v>
                </c:pt>
                <c:pt idx="14">
                  <c:v>0.38026301918838218</c:v>
                </c:pt>
                <c:pt idx="15">
                  <c:v>0.38083379089481895</c:v>
                </c:pt>
                <c:pt idx="16">
                  <c:v>0.38216417764094945</c:v>
                </c:pt>
                <c:pt idx="17">
                  <c:v>0.3844217545455898</c:v>
                </c:pt>
                <c:pt idx="18">
                  <c:v>0.38764909046953866</c:v>
                </c:pt>
                <c:pt idx="19">
                  <c:v>0.39171099869819559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1A-49CF-94BF-91502C30256B}"/>
            </c:ext>
          </c:extLst>
        </c:ser>
        <c:ser>
          <c:idx val="6"/>
          <c:order val="6"/>
          <c:tx>
            <c:strRef>
              <c:f>'CC examples - CAS + Mod 1'!$AB$38</c:f>
              <c:strCache>
                <c:ptCount val="1"/>
                <c:pt idx="0">
                  <c:v>201109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1'!$AB$39:$AB$59</c:f>
              <c:numCache>
                <c:formatCode>0%</c:formatCode>
                <c:ptCount val="21"/>
                <c:pt idx="0">
                  <c:v>0.58286298468722042</c:v>
                </c:pt>
                <c:pt idx="1">
                  <c:v>0.57250806989411918</c:v>
                </c:pt>
                <c:pt idx="2">
                  <c:v>0.56126033391943819</c:v>
                </c:pt>
                <c:pt idx="3">
                  <c:v>0.54931731153836449</c:v>
                </c:pt>
                <c:pt idx="4">
                  <c:v>0.53683887069527414</c:v>
                </c:pt>
                <c:pt idx="5">
                  <c:v>0.52397133562446785</c:v>
                </c:pt>
                <c:pt idx="6">
                  <c:v>0.51085492200183191</c:v>
                </c:pt>
                <c:pt idx="7">
                  <c:v>0.49763224311971183</c:v>
                </c:pt>
                <c:pt idx="8">
                  <c:v>0.4844560241548253</c:v>
                </c:pt>
                <c:pt idx="9">
                  <c:v>0.47149454584311146</c:v>
                </c:pt>
                <c:pt idx="10">
                  <c:v>0.45893391137568013</c:v>
                </c:pt>
                <c:pt idx="11">
                  <c:v>0.44697685327349784</c:v>
                </c:pt>
                <c:pt idx="12">
                  <c:v>0.43583824694546708</c:v>
                </c:pt>
                <c:pt idx="13">
                  <c:v>0.42573753066863324</c:v>
                </c:pt>
                <c:pt idx="14">
                  <c:v>0.41688774328450917</c:v>
                </c:pt>
                <c:pt idx="15">
                  <c:v>0.40948013062238969</c:v>
                </c:pt>
                <c:pt idx="16">
                  <c:v>0.40366299725446919</c:v>
                </c:pt>
                <c:pt idx="17">
                  <c:v>0.39951482810418409</c:v>
                </c:pt>
                <c:pt idx="18">
                  <c:v>0.39701547785511515</c:v>
                </c:pt>
                <c:pt idx="19">
                  <c:v>0.39602455858166896</c:v>
                </c:pt>
                <c:pt idx="20">
                  <c:v>0.39627951295395802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1A-49CF-94BF-91502C30256B}"/>
            </c:ext>
          </c:extLst>
        </c:ser>
        <c:ser>
          <c:idx val="7"/>
          <c:order val="7"/>
          <c:tx>
            <c:strRef>
              <c:f>'CC examples - CAS + Mod 1'!$AC$38</c:f>
              <c:strCache>
                <c:ptCount val="1"/>
                <c:pt idx="0">
                  <c:v>201112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1'!$AC$39:$AC$59</c:f>
              <c:numCache>
                <c:formatCode>0%</c:formatCode>
                <c:ptCount val="21"/>
                <c:pt idx="0">
                  <c:v>0.78304365440260337</c:v>
                </c:pt>
                <c:pt idx="1">
                  <c:v>0.74395596319788448</c:v>
                </c:pt>
                <c:pt idx="2">
                  <c:v>0.70797777872520873</c:v>
                </c:pt>
                <c:pt idx="3">
                  <c:v>0.67487610262725439</c:v>
                </c:pt>
                <c:pt idx="4">
                  <c:v>0.64434925389450115</c:v>
                </c:pt>
                <c:pt idx="5">
                  <c:v>0.61611645186710307</c:v>
                </c:pt>
                <c:pt idx="6">
                  <c:v>0.58992648872326803</c:v>
                </c:pt>
                <c:pt idx="7">
                  <c:v>0.56556651771647137</c:v>
                </c:pt>
                <c:pt idx="8">
                  <c:v>0.54287003607493745</c:v>
                </c:pt>
                <c:pt idx="9">
                  <c:v>0.52172293597702335</c:v>
                </c:pt>
                <c:pt idx="10">
                  <c:v>0.50206639032636946</c:v>
                </c:pt>
                <c:pt idx="11">
                  <c:v>0.4838953965078665</c:v>
                </c:pt>
                <c:pt idx="12">
                  <c:v>0.46725205906896827</c:v>
                </c:pt>
                <c:pt idx="13">
                  <c:v>0.4522131633260143</c:v>
                </c:pt>
                <c:pt idx="14">
                  <c:v>0.43887228040323512</c:v>
                </c:pt>
                <c:pt idx="15">
                  <c:v>0.42731756606766286</c:v>
                </c:pt>
                <c:pt idx="16">
                  <c:v>0.41760756479799038</c:v>
                </c:pt>
                <c:pt idx="17">
                  <c:v>0.40974855659829901</c:v>
                </c:pt>
                <c:pt idx="18">
                  <c:v>0.40367785476027651</c:v>
                </c:pt>
                <c:pt idx="19">
                  <c:v>0.39925730494405481</c:v>
                </c:pt>
                <c:pt idx="20">
                  <c:v>0.39627951295395814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1A-49CF-94BF-91502C30256B}"/>
            </c:ext>
          </c:extLst>
        </c:ser>
        <c:ser>
          <c:idx val="8"/>
          <c:order val="8"/>
          <c:tx>
            <c:strRef>
              <c:f>'CC examples - CAS + Mod 1'!$AD$38</c:f>
              <c:strCache>
                <c:ptCount val="1"/>
                <c:pt idx="0">
                  <c:v>201203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1'!$AD$39:$AD$59</c:f>
              <c:numCache>
                <c:formatCode>0%</c:formatCode>
                <c:ptCount val="21"/>
                <c:pt idx="0">
                  <c:v>0.21387225977326094</c:v>
                </c:pt>
                <c:pt idx="1">
                  <c:v>0.25086576101316815</c:v>
                </c:pt>
                <c:pt idx="2">
                  <c:v>0.28455318366433408</c:v>
                </c:pt>
                <c:pt idx="3">
                  <c:v>0.31478989880273073</c:v>
                </c:pt>
                <c:pt idx="4">
                  <c:v>0.34152287408479826</c:v>
                </c:pt>
                <c:pt idx="5">
                  <c:v>0.3647198025137684</c:v>
                </c:pt>
                <c:pt idx="6">
                  <c:v>0.38437349132925253</c:v>
                </c:pt>
                <c:pt idx="7">
                  <c:v>0.40050618691320816</c:v>
                </c:pt>
                <c:pt idx="8">
                  <c:v>0.41317597764912134</c:v>
                </c:pt>
                <c:pt idx="9">
                  <c:v>0.42248671350152017</c:v>
                </c:pt>
                <c:pt idx="10">
                  <c:v>0.42860132947707141</c:v>
                </c:pt>
                <c:pt idx="11">
                  <c:v>0.43175622148827209</c:v>
                </c:pt>
                <c:pt idx="12">
                  <c:v>0.43227201511645702</c:v>
                </c:pt>
                <c:pt idx="13">
                  <c:v>0.43055476379186558</c:v>
                </c:pt>
                <c:pt idx="14">
                  <c:v>0.42708248961716327</c:v>
                </c:pt>
                <c:pt idx="15">
                  <c:v>0.42237556077115485</c:v>
                </c:pt>
                <c:pt idx="16">
                  <c:v>0.41695478805288427</c:v>
                </c:pt>
                <c:pt idx="17">
                  <c:v>0.41129600003082606</c:v>
                </c:pt>
                <c:pt idx="18">
                  <c:v>0.40579167038130004</c:v>
                </c:pt>
                <c:pt idx="19">
                  <c:v>0.40072785856363663</c:v>
                </c:pt>
                <c:pt idx="20">
                  <c:v>0.39627951295395825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1A-49CF-94BF-91502C30256B}"/>
            </c:ext>
          </c:extLst>
        </c:ser>
        <c:ser>
          <c:idx val="9"/>
          <c:order val="9"/>
          <c:tx>
            <c:strRef>
              <c:f>'CC examples - CAS + Mod 1'!$AE$38</c:f>
              <c:strCache>
                <c:ptCount val="1"/>
                <c:pt idx="0">
                  <c:v>201206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1'!$AE$39:$AE$59</c:f>
              <c:numCache>
                <c:formatCode>0%</c:formatCode>
                <c:ptCount val="21"/>
                <c:pt idx="0">
                  <c:v>0.4317747025765129</c:v>
                </c:pt>
                <c:pt idx="1">
                  <c:v>0.42910872350083651</c:v>
                </c:pt>
                <c:pt idx="2">
                  <c:v>0.42838765337438806</c:v>
                </c:pt>
                <c:pt idx="3">
                  <c:v>0.42918096208032308</c:v>
                </c:pt>
                <c:pt idx="4">
                  <c:v>0.43111223373245905</c:v>
                </c:pt>
                <c:pt idx="5">
                  <c:v>0.43383249588484474</c:v>
                </c:pt>
                <c:pt idx="6">
                  <c:v>0.43699679947630171</c:v>
                </c:pt>
                <c:pt idx="7">
                  <c:v>0.44025078309431281</c:v>
                </c:pt>
                <c:pt idx="8">
                  <c:v>0.44322769524964073</c:v>
                </c:pt>
                <c:pt idx="9">
                  <c:v>0.44555714480057462</c:v>
                </c:pt>
                <c:pt idx="10">
                  <c:v>0.4468866487643513</c:v>
                </c:pt>
                <c:pt idx="11">
                  <c:v>0.44691519738777613</c:v>
                </c:pt>
                <c:pt idx="12">
                  <c:v>0.44543421116027732</c:v>
                </c:pt>
                <c:pt idx="13">
                  <c:v>0.4423662723378225</c:v>
                </c:pt>
                <c:pt idx="14">
                  <c:v>0.4377884988578194</c:v>
                </c:pt>
                <c:pt idx="15">
                  <c:v>0.43192887241446987</c:v>
                </c:pt>
                <c:pt idx="16">
                  <c:v>0.42513180156861863</c:v>
                </c:pt>
                <c:pt idx="17">
                  <c:v>0.41780078526413389</c:v>
                </c:pt>
                <c:pt idx="18">
                  <c:v>0.41033482606252475</c:v>
                </c:pt>
                <c:pt idx="19">
                  <c:v>0.40307609082749646</c:v>
                </c:pt>
                <c:pt idx="20">
                  <c:v>0.3962795129539583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71A-49CF-94BF-91502C30256B}"/>
            </c:ext>
          </c:extLst>
        </c:ser>
        <c:ser>
          <c:idx val="10"/>
          <c:order val="10"/>
          <c:tx>
            <c:strRef>
              <c:f>'CC examples - CAS + Mod 1'!$AF$38</c:f>
              <c:strCache>
                <c:ptCount val="1"/>
                <c:pt idx="0">
                  <c:v>201209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1'!$AF$39:$AF$59</c:f>
              <c:numCache>
                <c:formatCode>0%</c:formatCode>
                <c:ptCount val="21"/>
                <c:pt idx="0">
                  <c:v>0.57158470257344074</c:v>
                </c:pt>
                <c:pt idx="1">
                  <c:v>0.55613168789201173</c:v>
                </c:pt>
                <c:pt idx="2">
                  <c:v>0.5413730927192606</c:v>
                </c:pt>
                <c:pt idx="3">
                  <c:v>0.52780047304218891</c:v>
                </c:pt>
                <c:pt idx="4">
                  <c:v>0.51569019428441754</c:v>
                </c:pt>
                <c:pt idx="5">
                  <c:v>0.50516417884333797</c:v>
                </c:pt>
                <c:pt idx="6">
                  <c:v>0.49621165742334755</c:v>
                </c:pt>
                <c:pt idx="7">
                  <c:v>0.48870528976920341</c:v>
                </c:pt>
                <c:pt idx="8">
                  <c:v>0.48241446130169141</c:v>
                </c:pt>
                <c:pt idx="9">
                  <c:v>0.47701965709806515</c:v>
                </c:pt>
                <c:pt idx="10">
                  <c:v>0.47213289643900841</c:v>
                </c:pt>
                <c:pt idx="11">
                  <c:v>0.46732934346723937</c:v>
                </c:pt>
                <c:pt idx="12">
                  <c:v>0.46219298592847752</c:v>
                </c:pt>
                <c:pt idx="13">
                  <c:v>0.45637364369756267</c:v>
                </c:pt>
                <c:pt idx="14">
                  <c:v>0.44964447085550457</c:v>
                </c:pt>
                <c:pt idx="15">
                  <c:v>0.44194267596836678</c:v>
                </c:pt>
                <c:pt idx="16">
                  <c:v>0.43337712831301017</c:v>
                </c:pt>
                <c:pt idx="17">
                  <c:v>0.42419723589859198</c:v>
                </c:pt>
                <c:pt idx="18">
                  <c:v>0.41473303761286612</c:v>
                </c:pt>
                <c:pt idx="19">
                  <c:v>0.40532722190369253</c:v>
                </c:pt>
                <c:pt idx="20">
                  <c:v>0.39627951295395825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71A-49CF-94BF-91502C30256B}"/>
            </c:ext>
          </c:extLst>
        </c:ser>
        <c:ser>
          <c:idx val="11"/>
          <c:order val="11"/>
          <c:tx>
            <c:strRef>
              <c:f>'CC examples - CAS + Mod 1'!$AG$38</c:f>
              <c:strCache>
                <c:ptCount val="1"/>
                <c:pt idx="0">
                  <c:v>201212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1'!$AG$39:$AG$59</c:f>
              <c:numCache>
                <c:formatCode>0%</c:formatCode>
                <c:ptCount val="21"/>
                <c:pt idx="0">
                  <c:v>0.3902920081437265</c:v>
                </c:pt>
                <c:pt idx="1">
                  <c:v>0.39713575054652889</c:v>
                </c:pt>
                <c:pt idx="2">
                  <c:v>0.40442973377130309</c:v>
                </c:pt>
                <c:pt idx="3">
                  <c:v>0.41175992797829725</c:v>
                </c:pt>
                <c:pt idx="4">
                  <c:v>0.4188585176035447</c:v>
                </c:pt>
                <c:pt idx="5">
                  <c:v>0.42555025946601993</c:v>
                </c:pt>
                <c:pt idx="6">
                  <c:v>0.43171841128503408</c:v>
                </c:pt>
                <c:pt idx="7">
                  <c:v>0.43727423268862281</c:v>
                </c:pt>
                <c:pt idx="8">
                  <c:v>0.44212891094354045</c:v>
                </c:pt>
                <c:pt idx="9">
                  <c:v>0.44616876065353511</c:v>
                </c:pt>
                <c:pt idx="10">
                  <c:v>0.44923679713338921</c:v>
                </c:pt>
                <c:pt idx="11">
                  <c:v>0.45112600044361334</c:v>
                </c:pt>
                <c:pt idx="12">
                  <c:v>0.45159072899768998</c:v>
                </c:pt>
                <c:pt idx="13">
                  <c:v>0.45038099768600892</c:v>
                </c:pt>
                <c:pt idx="14">
                  <c:v>0.44729800701733852</c:v>
                </c:pt>
                <c:pt idx="15">
                  <c:v>0.44225889743711871</c:v>
                </c:pt>
                <c:pt idx="16">
                  <c:v>0.43534893558940613</c:v>
                </c:pt>
                <c:pt idx="17">
                  <c:v>0.42683798648424831</c:v>
                </c:pt>
                <c:pt idx="18">
                  <c:v>0.4171498822410607</c:v>
                </c:pt>
                <c:pt idx="19">
                  <c:v>0.4067933979790358</c:v>
                </c:pt>
                <c:pt idx="20">
                  <c:v>0.3962795129539583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71A-49CF-94BF-91502C30256B}"/>
            </c:ext>
          </c:extLst>
        </c:ser>
        <c:ser>
          <c:idx val="12"/>
          <c:order val="12"/>
          <c:tx>
            <c:strRef>
              <c:f>'CC examples - CAS + Mod 1'!$AH$38</c:f>
              <c:strCache>
                <c:ptCount val="1"/>
                <c:pt idx="0">
                  <c:v>201303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1'!$AH$39:$AH$59</c:f>
              <c:numCache>
                <c:formatCode>0%</c:formatCode>
                <c:ptCount val="21"/>
                <c:pt idx="0">
                  <c:v>0.348099049501365</c:v>
                </c:pt>
                <c:pt idx="1">
                  <c:v>0.3701816227570594</c:v>
                </c:pt>
                <c:pt idx="2">
                  <c:v>0.38894111489090338</c:v>
                </c:pt>
                <c:pt idx="3">
                  <c:v>0.4047087418404593</c:v>
                </c:pt>
                <c:pt idx="4">
                  <c:v>0.41781733911965335</c:v>
                </c:pt>
                <c:pt idx="5">
                  <c:v>0.42856963193284897</c:v>
                </c:pt>
                <c:pt idx="6">
                  <c:v>0.43724499960670737</c:v>
                </c:pt>
                <c:pt idx="7">
                  <c:v>0.44409809279977319</c:v>
                </c:pt>
                <c:pt idx="8">
                  <c:v>0.44935050335551791</c:v>
                </c:pt>
                <c:pt idx="9">
                  <c:v>0.45317691057671083</c:v>
                </c:pt>
                <c:pt idx="10">
                  <c:v>0.45568794874570834</c:v>
                </c:pt>
                <c:pt idx="11">
                  <c:v>0.45691370857847541</c:v>
                </c:pt>
                <c:pt idx="12">
                  <c:v>0.45679425271122392</c:v>
                </c:pt>
                <c:pt idx="13">
                  <c:v>0.45518601275740245</c:v>
                </c:pt>
                <c:pt idx="14">
                  <c:v>0.45189343102130913</c:v>
                </c:pt>
                <c:pt idx="15">
                  <c:v>0.44673056431308727</c:v>
                </c:pt>
                <c:pt idx="16">
                  <c:v>0.43960522913347599</c:v>
                </c:pt>
                <c:pt idx="17">
                  <c:v>0.43060126924000608</c:v>
                </c:pt>
                <c:pt idx="18">
                  <c:v>0.42002328241345072</c:v>
                </c:pt>
                <c:pt idx="19">
                  <c:v>0.40837601470357376</c:v>
                </c:pt>
                <c:pt idx="20">
                  <c:v>0.39627951295395814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71A-49CF-94BF-91502C30256B}"/>
            </c:ext>
          </c:extLst>
        </c:ser>
        <c:ser>
          <c:idx val="13"/>
          <c:order val="13"/>
          <c:tx>
            <c:strRef>
              <c:f>'CC examples - CAS + Mod 1'!$AI$38</c:f>
              <c:strCache>
                <c:ptCount val="1"/>
                <c:pt idx="0">
                  <c:v>201306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1'!$AI$39:$AI$59</c:f>
              <c:numCache>
                <c:formatCode>0%</c:formatCode>
                <c:ptCount val="21"/>
                <c:pt idx="0">
                  <c:v>0.80457034590996035</c:v>
                </c:pt>
                <c:pt idx="1">
                  <c:v>0.75404719148352961</c:v>
                </c:pt>
                <c:pt idx="2">
                  <c:v>0.71041224212492171</c:v>
                </c:pt>
                <c:pt idx="3">
                  <c:v>0.67262125786040772</c:v>
                </c:pt>
                <c:pt idx="4">
                  <c:v>0.63977646310888225</c:v>
                </c:pt>
                <c:pt idx="5">
                  <c:v>0.61116562146596309</c:v>
                </c:pt>
                <c:pt idx="6">
                  <c:v>0.58621364030816581</c:v>
                </c:pt>
                <c:pt idx="7">
                  <c:v>0.56444696059513988</c:v>
                </c:pt>
                <c:pt idx="8">
                  <c:v>0.54546458514995844</c:v>
                </c:pt>
                <c:pt idx="9">
                  <c:v>0.5289114383787431</c:v>
                </c:pt>
                <c:pt idx="10">
                  <c:v>0.51445126543848352</c:v>
                </c:pt>
                <c:pt idx="11">
                  <c:v>0.50173804090401652</c:v>
                </c:pt>
                <c:pt idx="12">
                  <c:v>0.49038749253505171</c:v>
                </c:pt>
                <c:pt idx="13">
                  <c:v>0.47995444868060744</c:v>
                </c:pt>
                <c:pt idx="14">
                  <c:v>0.46992725539042501</c:v>
                </c:pt>
                <c:pt idx="15">
                  <c:v>0.45975534229630899</c:v>
                </c:pt>
                <c:pt idx="16">
                  <c:v>0.44892408822126517</c:v>
                </c:pt>
                <c:pt idx="17">
                  <c:v>0.43707374157530615</c:v>
                </c:pt>
                <c:pt idx="18">
                  <c:v>0.42412480103656491</c:v>
                </c:pt>
                <c:pt idx="19">
                  <c:v>0.41034182801706037</c:v>
                </c:pt>
                <c:pt idx="20">
                  <c:v>0.39627951295395802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71A-49CF-94BF-91502C30256B}"/>
            </c:ext>
          </c:extLst>
        </c:ser>
        <c:ser>
          <c:idx val="14"/>
          <c:order val="14"/>
          <c:tx>
            <c:strRef>
              <c:f>'CC examples - CAS + Mod 1'!$AJ$38</c:f>
              <c:strCache>
                <c:ptCount val="1"/>
                <c:pt idx="0">
                  <c:v>201309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1'!$AJ$39:$AJ$59</c:f>
              <c:numCache>
                <c:formatCode>0%</c:formatCode>
                <c:ptCount val="21"/>
                <c:pt idx="0">
                  <c:v>0.30150212860519926</c:v>
                </c:pt>
                <c:pt idx="1">
                  <c:v>0.3280763724453164</c:v>
                </c:pt>
                <c:pt idx="2">
                  <c:v>0.35061443567138378</c:v>
                </c:pt>
                <c:pt idx="3">
                  <c:v>0.36966359533642201</c:v>
                </c:pt>
                <c:pt idx="4">
                  <c:v>0.38573193557608015</c:v>
                </c:pt>
                <c:pt idx="5">
                  <c:v>0.39924294820390915</c:v>
                </c:pt>
                <c:pt idx="6">
                  <c:v>0.41054832200702651</c:v>
                </c:pt>
                <c:pt idx="7">
                  <c:v>0.41994036593800138</c:v>
                </c:pt>
                <c:pt idx="8">
                  <c:v>0.42766248669293222</c:v>
                </c:pt>
                <c:pt idx="9">
                  <c:v>0.43391540448207472</c:v>
                </c:pt>
                <c:pt idx="10">
                  <c:v>0.43885626110632886</c:v>
                </c:pt>
                <c:pt idx="11">
                  <c:v>0.4425877570487643</c:v>
                </c:pt>
                <c:pt idx="12">
                  <c:v>0.44513562149525604</c:v>
                </c:pt>
                <c:pt idx="13">
                  <c:v>0.44641637794005334</c:v>
                </c:pt>
                <c:pt idx="14">
                  <c:v>0.44620549368763568</c:v>
                </c:pt>
                <c:pt idx="15">
                  <c:v>0.4441298269281353</c:v>
                </c:pt>
                <c:pt idx="16">
                  <c:v>0.43972320410566862</c:v>
                </c:pt>
                <c:pt idx="17">
                  <c:v>0.43258118028622417</c:v>
                </c:pt>
                <c:pt idx="18">
                  <c:v>0.42260030340838889</c:v>
                </c:pt>
                <c:pt idx="19">
                  <c:v>0.41018882731529144</c:v>
                </c:pt>
                <c:pt idx="20">
                  <c:v>0.39627951295395802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71A-49CF-94BF-91502C30256B}"/>
            </c:ext>
          </c:extLst>
        </c:ser>
        <c:ser>
          <c:idx val="15"/>
          <c:order val="15"/>
          <c:tx>
            <c:strRef>
              <c:f>'CC examples - CAS + Mod 1'!$AK$38</c:f>
              <c:strCache>
                <c:ptCount val="1"/>
                <c:pt idx="0">
                  <c:v>201312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1'!$AK$39:$AK$59</c:f>
              <c:numCache>
                <c:formatCode>0%</c:formatCode>
                <c:ptCount val="21"/>
                <c:pt idx="0">
                  <c:v>0.47881924041994733</c:v>
                </c:pt>
                <c:pt idx="1">
                  <c:v>0.46413285312538366</c:v>
                </c:pt>
                <c:pt idx="2">
                  <c:v>0.45388799923301815</c:v>
                </c:pt>
                <c:pt idx="3">
                  <c:v>0.44708078079911634</c:v>
                </c:pt>
                <c:pt idx="4">
                  <c:v>0.44287661288917685</c:v>
                </c:pt>
                <c:pt idx="5">
                  <c:v>0.44060258158767257</c:v>
                </c:pt>
                <c:pt idx="6">
                  <c:v>0.43971672804118794</c:v>
                </c:pt>
                <c:pt idx="7">
                  <c:v>0.43978534780365369</c:v>
                </c:pt>
                <c:pt idx="8">
                  <c:v>0.44046526472433734</c:v>
                </c:pt>
                <c:pt idx="9">
                  <c:v>0.44148802446373447</c:v>
                </c:pt>
                <c:pt idx="10">
                  <c:v>0.44264242290822831</c:v>
                </c:pt>
                <c:pt idx="11">
                  <c:v>0.44375092845010006</c:v>
                </c:pt>
                <c:pt idx="12">
                  <c:v>0.44463492137981331</c:v>
                </c:pt>
                <c:pt idx="13">
                  <c:v>0.44506473367672883</c:v>
                </c:pt>
                <c:pt idx="14">
                  <c:v>0.4446965874817374</c:v>
                </c:pt>
                <c:pt idx="15">
                  <c:v>0.44301536917891648</c:v>
                </c:pt>
                <c:pt idx="16">
                  <c:v>0.43933331163825351</c:v>
                </c:pt>
                <c:pt idx="17">
                  <c:v>0.43292396758172874</c:v>
                </c:pt>
                <c:pt idx="18">
                  <c:v>0.42333802936607473</c:v>
                </c:pt>
                <c:pt idx="19">
                  <c:v>0.41078581918306872</c:v>
                </c:pt>
                <c:pt idx="20">
                  <c:v>0.39627951295395802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1A-49CF-94BF-91502C30256B}"/>
            </c:ext>
          </c:extLst>
        </c:ser>
        <c:ser>
          <c:idx val="16"/>
          <c:order val="16"/>
          <c:tx>
            <c:strRef>
              <c:f>'CC examples - CAS + Mod 1'!$AL$38</c:f>
              <c:strCache>
                <c:ptCount val="1"/>
                <c:pt idx="0">
                  <c:v>201403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1'!$AL$39:$AL$59</c:f>
              <c:numCache>
                <c:formatCode>0%</c:formatCode>
                <c:ptCount val="21"/>
                <c:pt idx="0">
                  <c:v>0.32234729294835096</c:v>
                </c:pt>
                <c:pt idx="1">
                  <c:v>0.3431950540702417</c:v>
                </c:pt>
                <c:pt idx="2">
                  <c:v>0.3605243341545859</c:v>
                </c:pt>
                <c:pt idx="3">
                  <c:v>0.3749401717236393</c:v>
                </c:pt>
                <c:pt idx="4">
                  <c:v>0.38696423450385037</c:v>
                </c:pt>
                <c:pt idx="5">
                  <c:v>0.39701690457199712</c:v>
                </c:pt>
                <c:pt idx="6">
                  <c:v>0.40543876158578385</c:v>
                </c:pt>
                <c:pt idx="7">
                  <c:v>0.41250737148850958</c:v>
                </c:pt>
                <c:pt idx="8">
                  <c:v>0.41845042874124827</c:v>
                </c:pt>
                <c:pt idx="9">
                  <c:v>0.4234554150263935</c:v>
                </c:pt>
                <c:pt idx="10">
                  <c:v>0.42767459771170152</c:v>
                </c:pt>
                <c:pt idx="11">
                  <c:v>0.43122218348151226</c:v>
                </c:pt>
                <c:pt idx="12">
                  <c:v>0.43415783133577501</c:v>
                </c:pt>
                <c:pt idx="13">
                  <c:v>0.43644852863933248</c:v>
                </c:pt>
                <c:pt idx="14">
                  <c:v>0.43790267384536868</c:v>
                </c:pt>
                <c:pt idx="15">
                  <c:v>0.43808512229540536</c:v>
                </c:pt>
                <c:pt idx="16">
                  <c:v>0.4362640503439929</c:v>
                </c:pt>
                <c:pt idx="17">
                  <c:v>0.43150800139868001</c:v>
                </c:pt>
                <c:pt idx="18">
                  <c:v>0.42306548521580345</c:v>
                </c:pt>
                <c:pt idx="19">
                  <c:v>0.41095173677861252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71A-49CF-94BF-91502C30256B}"/>
            </c:ext>
          </c:extLst>
        </c:ser>
        <c:ser>
          <c:idx val="17"/>
          <c:order val="17"/>
          <c:tx>
            <c:strRef>
              <c:f>'CC examples - CAS + Mod 1'!$AM$38</c:f>
              <c:strCache>
                <c:ptCount val="1"/>
                <c:pt idx="0">
                  <c:v>201406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1'!$AM$39:$AM$59</c:f>
              <c:numCache>
                <c:formatCode>0%</c:formatCode>
                <c:ptCount val="21"/>
                <c:pt idx="0">
                  <c:v>0.61952822451029355</c:v>
                </c:pt>
                <c:pt idx="1">
                  <c:v>0.59536143764388749</c:v>
                </c:pt>
                <c:pt idx="2">
                  <c:v>0.57380676270585595</c:v>
                </c:pt>
                <c:pt idx="3">
                  <c:v>0.55460675276271709</c:v>
                </c:pt>
                <c:pt idx="4">
                  <c:v>0.53751421389593046</c:v>
                </c:pt>
                <c:pt idx="5">
                  <c:v>0.52232836392936299</c:v>
                </c:pt>
                <c:pt idx="6">
                  <c:v>0.50888340107208896</c:v>
                </c:pt>
                <c:pt idx="7">
                  <c:v>0.49704001901281941</c:v>
                </c:pt>
                <c:pt idx="8">
                  <c:v>0.48667911564936689</c:v>
                </c:pt>
                <c:pt idx="9">
                  <c:v>0.4776967759143706</c:v>
                </c:pt>
                <c:pt idx="10">
                  <c:v>0.4699989082356163</c:v>
                </c:pt>
                <c:pt idx="11">
                  <c:v>0.46349225425670065</c:v>
                </c:pt>
                <c:pt idx="12">
                  <c:v>0.45806548007650205</c:v>
                </c:pt>
                <c:pt idx="13">
                  <c:v>0.45354994996526649</c:v>
                </c:pt>
                <c:pt idx="14">
                  <c:v>0.44964743793686429</c:v>
                </c:pt>
                <c:pt idx="15">
                  <c:v>0.44582152007783066</c:v>
                </c:pt>
                <c:pt idx="16">
                  <c:v>0.44119308521752215</c:v>
                </c:pt>
                <c:pt idx="17">
                  <c:v>0.43457648756174805</c:v>
                </c:pt>
                <c:pt idx="18">
                  <c:v>0.42486543059728438</c:v>
                </c:pt>
                <c:pt idx="19">
                  <c:v>0.41176325332972469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71A-49CF-94BF-91502C30256B}"/>
            </c:ext>
          </c:extLst>
        </c:ser>
        <c:ser>
          <c:idx val="18"/>
          <c:order val="18"/>
          <c:tx>
            <c:strRef>
              <c:f>'CC examples - CAS + Mod 1'!$AN$38</c:f>
              <c:strCache>
                <c:ptCount val="1"/>
                <c:pt idx="0">
                  <c:v>201409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1'!$AN$39:$AN$59</c:f>
              <c:numCache>
                <c:formatCode>0%</c:formatCode>
                <c:ptCount val="21"/>
                <c:pt idx="0">
                  <c:v>0.39022383843740582</c:v>
                </c:pt>
                <c:pt idx="1">
                  <c:v>0.39777554534042125</c:v>
                </c:pt>
                <c:pt idx="2">
                  <c:v>0.40381381231479035</c:v>
                </c:pt>
                <c:pt idx="3">
                  <c:v>0.40863445946292165</c:v>
                </c:pt>
                <c:pt idx="4">
                  <c:v>0.41248038912888335</c:v>
                </c:pt>
                <c:pt idx="5">
                  <c:v>0.41554980301749145</c:v>
                </c:pt>
                <c:pt idx="6">
                  <c:v>0.41801219403718076</c:v>
                </c:pt>
                <c:pt idx="7">
                  <c:v>0.42001832353040353</c:v>
                </c:pt>
                <c:pt idx="8">
                  <c:v>0.42170615709079934</c:v>
                </c:pt>
                <c:pt idx="9">
                  <c:v>0.42320387579938662</c:v>
                </c:pt>
                <c:pt idx="10">
                  <c:v>0.42463001806323109</c:v>
                </c:pt>
                <c:pt idx="11">
                  <c:v>0.42608881830448936</c:v>
                </c:pt>
                <c:pt idx="12">
                  <c:v>0.42765493979588493</c:v>
                </c:pt>
                <c:pt idx="13">
                  <c:v>0.42933540586466601</c:v>
                </c:pt>
                <c:pt idx="14">
                  <c:v>0.43098960380948936</c:v>
                </c:pt>
                <c:pt idx="15">
                  <c:v>0.43219212195845919</c:v>
                </c:pt>
                <c:pt idx="16">
                  <c:v>0.43207007662325853</c:v>
                </c:pt>
                <c:pt idx="17">
                  <c:v>0.42927919520070673</c:v>
                </c:pt>
                <c:pt idx="18">
                  <c:v>0.42242960950761427</c:v>
                </c:pt>
                <c:pt idx="19">
                  <c:v>0.41104205880480582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71A-49CF-94BF-91502C30256B}"/>
            </c:ext>
          </c:extLst>
        </c:ser>
        <c:ser>
          <c:idx val="19"/>
          <c:order val="19"/>
          <c:tx>
            <c:strRef>
              <c:f>'CC examples - CAS + Mod 1'!$AO$38</c:f>
              <c:strCache>
                <c:ptCount val="1"/>
                <c:pt idx="0">
                  <c:v>201412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'CC examples - CAS + Mod 1'!$S$39:$S$59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1'!$AO$39:$AO$59</c:f>
              <c:numCache>
                <c:formatCode>0%</c:formatCode>
                <c:ptCount val="21"/>
                <c:pt idx="0">
                  <c:v>0.31527530096537953</c:v>
                </c:pt>
                <c:pt idx="1">
                  <c:v>0.32017356890349069</c:v>
                </c:pt>
                <c:pt idx="2">
                  <c:v>0.32609880073293873</c:v>
                </c:pt>
                <c:pt idx="3">
                  <c:v>0.33279469178615534</c:v>
                </c:pt>
                <c:pt idx="4">
                  <c:v>0.34004116463228207</c:v>
                </c:pt>
                <c:pt idx="5">
                  <c:v>0.34764612459689503</c:v>
                </c:pt>
                <c:pt idx="6">
                  <c:v>0.35544687028797117</c:v>
                </c:pt>
                <c:pt idx="7">
                  <c:v>0.3633115506483009</c:v>
                </c:pt>
                <c:pt idx="8">
                  <c:v>0.37113993349383639</c:v>
                </c:pt>
                <c:pt idx="9">
                  <c:v>0.37886290527889077</c:v>
                </c:pt>
                <c:pt idx="10">
                  <c:v>0.38643987026505988</c:v>
                </c:pt>
                <c:pt idx="11">
                  <c:v>0.39385181750879356</c:v>
                </c:pt>
                <c:pt idx="12">
                  <c:v>0.40108398307317411</c:v>
                </c:pt>
                <c:pt idx="13">
                  <c:v>0.40808442085125096</c:v>
                </c:pt>
                <c:pt idx="14">
                  <c:v>0.41467475359132977</c:v>
                </c:pt>
                <c:pt idx="15">
                  <c:v>0.42038942650725275</c:v>
                </c:pt>
                <c:pt idx="16">
                  <c:v>0.4242698578608744</c:v>
                </c:pt>
                <c:pt idx="17">
                  <c:v>0.42480075553493846</c:v>
                </c:pt>
                <c:pt idx="18">
                  <c:v>0.42037544325971388</c:v>
                </c:pt>
                <c:pt idx="19">
                  <c:v>0.41042175903613576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71A-49CF-94BF-91502C30256B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469825744"/>
        <c:axId val="1469824496"/>
        <c:axId val="1386358144"/>
      </c:surface3DChart>
      <c:catAx>
        <c:axId val="146982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824496"/>
        <c:crosses val="autoZero"/>
        <c:auto val="1"/>
        <c:lblAlgn val="ctr"/>
        <c:lblOffset val="100"/>
        <c:noMultiLvlLbl val="0"/>
      </c:catAx>
      <c:valAx>
        <c:axId val="146982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825744"/>
        <c:crosses val="autoZero"/>
        <c:crossBetween val="midCat"/>
      </c:valAx>
      <c:serAx>
        <c:axId val="13863581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82449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IELR - CC - Modified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'CC examples - CAS + Mod 1'!$B$31:$B$50</c:f>
              <c:strCache>
                <c:ptCount val="20"/>
                <c:pt idx="0">
                  <c:v>201003</c:v>
                </c:pt>
                <c:pt idx="1">
                  <c:v>201006</c:v>
                </c:pt>
                <c:pt idx="2">
                  <c:v>201009</c:v>
                </c:pt>
                <c:pt idx="3">
                  <c:v>201012</c:v>
                </c:pt>
                <c:pt idx="4">
                  <c:v>201103</c:v>
                </c:pt>
                <c:pt idx="5">
                  <c:v>201106</c:v>
                </c:pt>
                <c:pt idx="6">
                  <c:v>201109</c:v>
                </c:pt>
                <c:pt idx="7">
                  <c:v>201112</c:v>
                </c:pt>
                <c:pt idx="8">
                  <c:v>201203</c:v>
                </c:pt>
                <c:pt idx="9">
                  <c:v>201206</c:v>
                </c:pt>
                <c:pt idx="10">
                  <c:v>201209</c:v>
                </c:pt>
                <c:pt idx="11">
                  <c:v>201212</c:v>
                </c:pt>
                <c:pt idx="12">
                  <c:v>201303</c:v>
                </c:pt>
                <c:pt idx="13">
                  <c:v>201306</c:v>
                </c:pt>
                <c:pt idx="14">
                  <c:v>201309</c:v>
                </c:pt>
                <c:pt idx="15">
                  <c:v>201312</c:v>
                </c:pt>
                <c:pt idx="16">
                  <c:v>201403</c:v>
                </c:pt>
                <c:pt idx="17">
                  <c:v>201406</c:v>
                </c:pt>
                <c:pt idx="18">
                  <c:v>201409</c:v>
                </c:pt>
                <c:pt idx="19">
                  <c:v>201412</c:v>
                </c:pt>
              </c:strCache>
            </c:strRef>
          </c:cat>
          <c:val>
            <c:numRef>
              <c:f>'CC examples - CAS + Mod 1'!$I$31:$I$50</c:f>
              <c:numCache>
                <c:formatCode>0%</c:formatCode>
                <c:ptCount val="20"/>
                <c:pt idx="0">
                  <c:v>0.38117044792110383</c:v>
                </c:pt>
                <c:pt idx="1">
                  <c:v>0.38383005524800534</c:v>
                </c:pt>
                <c:pt idx="2">
                  <c:v>0.38599430334574947</c:v>
                </c:pt>
                <c:pt idx="3">
                  <c:v>0.39718392700923832</c:v>
                </c:pt>
                <c:pt idx="4">
                  <c:v>0.40714296585232029</c:v>
                </c:pt>
                <c:pt idx="5">
                  <c:v>0.4203687136356552</c:v>
                </c:pt>
                <c:pt idx="6">
                  <c:v>0.44199625812423349</c:v>
                </c:pt>
                <c:pt idx="7">
                  <c:v>0.46077199978614453</c:v>
                </c:pt>
                <c:pt idx="8">
                  <c:v>0.46563986849036387</c:v>
                </c:pt>
                <c:pt idx="9">
                  <c:v>0.47078812339018805</c:v>
                </c:pt>
                <c:pt idx="10">
                  <c:v>0.47801979957084323</c:v>
                </c:pt>
                <c:pt idx="11">
                  <c:v>0.47957311962478055</c:v>
                </c:pt>
                <c:pt idx="12">
                  <c:v>0.48693375218782137</c:v>
                </c:pt>
                <c:pt idx="13">
                  <c:v>0.50434346165519472</c:v>
                </c:pt>
                <c:pt idx="14">
                  <c:v>0.50217621496216092</c:v>
                </c:pt>
                <c:pt idx="15">
                  <c:v>0.49969315213820648</c:v>
                </c:pt>
                <c:pt idx="16">
                  <c:v>0.49732004392165829</c:v>
                </c:pt>
                <c:pt idx="17">
                  <c:v>0.49454551158250543</c:v>
                </c:pt>
                <c:pt idx="18">
                  <c:v>0.48607111037309431</c:v>
                </c:pt>
                <c:pt idx="19">
                  <c:v>0.48607111037309436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5C-4F83-B7D9-B2784BD5F93D}"/>
            </c:ext>
          </c:extLst>
        </c:ser>
        <c:ser>
          <c:idx val="1"/>
          <c:order val="1"/>
          <c:tx>
            <c:strRef>
              <c:f>'CC examples - CAS'!$I$30</c:f>
              <c:strCache>
                <c:ptCount val="1"/>
                <c:pt idx="0">
                  <c:v> IELR - CC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'CC examples - CAS'!$I$31:$I$50</c:f>
              <c:numCache>
                <c:formatCode>0%</c:formatCode>
                <c:ptCount val="20"/>
                <c:pt idx="0">
                  <c:v>0.37774276115336408</c:v>
                </c:pt>
                <c:pt idx="1">
                  <c:v>0.37779514016872484</c:v>
                </c:pt>
                <c:pt idx="2">
                  <c:v>0.37841871887310402</c:v>
                </c:pt>
                <c:pt idx="3">
                  <c:v>0.37926264916332275</c:v>
                </c:pt>
                <c:pt idx="4">
                  <c:v>0.3805457487221624</c:v>
                </c:pt>
                <c:pt idx="5">
                  <c:v>0.38186029947737987</c:v>
                </c:pt>
                <c:pt idx="6">
                  <c:v>0.38330768913555568</c:v>
                </c:pt>
                <c:pt idx="7">
                  <c:v>0.38450942970984026</c:v>
                </c:pt>
                <c:pt idx="8">
                  <c:v>0.38515834093580936</c:v>
                </c:pt>
                <c:pt idx="9">
                  <c:v>0.38611425643100616</c:v>
                </c:pt>
                <c:pt idx="10">
                  <c:v>0.38700679521953257</c:v>
                </c:pt>
                <c:pt idx="11">
                  <c:v>0.3875995924624242</c:v>
                </c:pt>
                <c:pt idx="12">
                  <c:v>0.38818207631900897</c:v>
                </c:pt>
                <c:pt idx="13">
                  <c:v>0.38881690415077347</c:v>
                </c:pt>
                <c:pt idx="14">
                  <c:v>0.38874102100059449</c:v>
                </c:pt>
                <c:pt idx="15">
                  <c:v>0.38888042530212535</c:v>
                </c:pt>
                <c:pt idx="16">
                  <c:v>0.38879139456023465</c:v>
                </c:pt>
                <c:pt idx="17">
                  <c:v>0.38897257639493799</c:v>
                </c:pt>
                <c:pt idx="18">
                  <c:v>0.38882887681627143</c:v>
                </c:pt>
                <c:pt idx="19">
                  <c:v>0.38866796957168626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5C-4F83-B7D9-B2784BD5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2418672"/>
        <c:axId val="1872423248"/>
      </c:lineChart>
      <c:catAx>
        <c:axId val="187241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423248"/>
        <c:crosses val="autoZero"/>
        <c:auto val="1"/>
        <c:lblAlgn val="ctr"/>
        <c:lblOffset val="100"/>
        <c:noMultiLvlLbl val="0"/>
      </c:catAx>
      <c:valAx>
        <c:axId val="1872423248"/>
        <c:scaling>
          <c:orientation val="minMax"/>
          <c:min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41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'CC examples - CAS + Mod 2'!$V$38</c:f>
              <c:strCache>
                <c:ptCount val="1"/>
                <c:pt idx="0">
                  <c:v>201003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2'!$V$39:$V$59</c:f>
              <c:numCache>
                <c:formatCode>0%</c:formatCode>
                <c:ptCount val="21"/>
                <c:pt idx="0">
                  <c:v>0.36750314098335873</c:v>
                </c:pt>
                <c:pt idx="1">
                  <c:v>0.36047527381157379</c:v>
                </c:pt>
                <c:pt idx="2">
                  <c:v>0.35385146865373718</c:v>
                </c:pt>
                <c:pt idx="3">
                  <c:v>0.34761722212797558</c:v>
                </c:pt>
                <c:pt idx="4">
                  <c:v>0.34176249287454813</c:v>
                </c:pt>
                <c:pt idx="5">
                  <c:v>0.3362985560494281</c:v>
                </c:pt>
                <c:pt idx="6">
                  <c:v>0.33126095821608598</c:v>
                </c:pt>
                <c:pt idx="7">
                  <c:v>0.32671253611081652</c:v>
                </c:pt>
                <c:pt idx="8">
                  <c:v>0.32274605041187576</c:v>
                </c:pt>
                <c:pt idx="9">
                  <c:v>0.31948632437219038</c:v>
                </c:pt>
                <c:pt idx="10">
                  <c:v>0.31709237223943587</c:v>
                </c:pt>
                <c:pt idx="11">
                  <c:v>0.31576082157118301</c:v>
                </c:pt>
                <c:pt idx="12">
                  <c:v>0.31573271095169092</c:v>
                </c:pt>
                <c:pt idx="13">
                  <c:v>0.31730556209806471</c:v>
                </c:pt>
                <c:pt idx="14">
                  <c:v>0.32084903565631595</c:v>
                </c:pt>
                <c:pt idx="15">
                  <c:v>0.32681032139818905</c:v>
                </c:pt>
                <c:pt idx="16">
                  <c:v>0.33566776677017346</c:v>
                </c:pt>
                <c:pt idx="17">
                  <c:v>0.3477523669719349</c:v>
                </c:pt>
                <c:pt idx="18">
                  <c:v>0.36286332685260708</c:v>
                </c:pt>
                <c:pt idx="19">
                  <c:v>0.37979526186592399</c:v>
                </c:pt>
                <c:pt idx="20">
                  <c:v>0.39627951295395819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5C-4C6D-918F-03A16C58C504}"/>
            </c:ext>
          </c:extLst>
        </c:ser>
        <c:ser>
          <c:idx val="1"/>
          <c:order val="1"/>
          <c:tx>
            <c:strRef>
              <c:f>'CC examples - CAS + Mod 2'!$W$38</c:f>
              <c:strCache>
                <c:ptCount val="1"/>
                <c:pt idx="0">
                  <c:v>201006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2'!$W$39:$W$59</c:f>
              <c:numCache>
                <c:formatCode>0%</c:formatCode>
                <c:ptCount val="21"/>
                <c:pt idx="0">
                  <c:v>0.22360616338896205</c:v>
                </c:pt>
                <c:pt idx="1">
                  <c:v>0.23399583315805386</c:v>
                </c:pt>
                <c:pt idx="2">
                  <c:v>0.24273534680768818</c:v>
                </c:pt>
                <c:pt idx="3">
                  <c:v>0.25017403808873001</c:v>
                </c:pt>
                <c:pt idx="4">
                  <c:v>0.25660543882866044</c:v>
                </c:pt>
                <c:pt idx="5">
                  <c:v>0.26227223042843018</c:v>
                </c:pt>
                <c:pt idx="6">
                  <c:v>0.26738517417391749</c:v>
                </c:pt>
                <c:pt idx="7">
                  <c:v>0.27213628598682976</c:v>
                </c:pt>
                <c:pt idx="8">
                  <c:v>0.27670838791382718</c:v>
                </c:pt>
                <c:pt idx="9">
                  <c:v>0.28128277082700542</c:v>
                </c:pt>
                <c:pt idx="10">
                  <c:v>0.28604664948470376</c:v>
                </c:pt>
                <c:pt idx="11">
                  <c:v>0.29120222508839383</c:v>
                </c:pt>
                <c:pt idx="12">
                  <c:v>0.29697917461086837</c:v>
                </c:pt>
                <c:pt idx="13">
                  <c:v>0.30365141372893673</c:v>
                </c:pt>
                <c:pt idx="14">
                  <c:v>0.31155497459250825</c:v>
                </c:pt>
                <c:pt idx="15">
                  <c:v>0.32109277873862085</c:v>
                </c:pt>
                <c:pt idx="16">
                  <c:v>0.33268928786193347</c:v>
                </c:pt>
                <c:pt idx="17">
                  <c:v>0.34662910886694343</c:v>
                </c:pt>
                <c:pt idx="18">
                  <c:v>0.36272598552801155</c:v>
                </c:pt>
                <c:pt idx="19">
                  <c:v>0.37992904324867521</c:v>
                </c:pt>
                <c:pt idx="20">
                  <c:v>0.39627951295395836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5C-4C6D-918F-03A16C58C504}"/>
            </c:ext>
          </c:extLst>
        </c:ser>
        <c:ser>
          <c:idx val="2"/>
          <c:order val="2"/>
          <c:tx>
            <c:strRef>
              <c:f>'CC examples - CAS + Mod 2'!$X$38</c:f>
              <c:strCache>
                <c:ptCount val="1"/>
                <c:pt idx="0">
                  <c:v>201009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2'!$X$39:$X$59</c:f>
              <c:numCache>
                <c:formatCode>0%</c:formatCode>
                <c:ptCount val="21"/>
                <c:pt idx="0">
                  <c:v>0.31213611634502886</c:v>
                </c:pt>
                <c:pt idx="1">
                  <c:v>0.30504130816220171</c:v>
                </c:pt>
                <c:pt idx="2">
                  <c:v>0.29974114771169214</c:v>
                </c:pt>
                <c:pt idx="3">
                  <c:v>0.29596091056112511</c:v>
                </c:pt>
                <c:pt idx="4">
                  <c:v>0.29347376379870366</c:v>
                </c:pt>
                <c:pt idx="5">
                  <c:v>0.2921075843629321</c:v>
                </c:pt>
                <c:pt idx="6">
                  <c:v>0.2917358438665395</c:v>
                </c:pt>
                <c:pt idx="7">
                  <c:v>0.2922698716851434</c:v>
                </c:pt>
                <c:pt idx="8">
                  <c:v>0.29365316971637428</c:v>
                </c:pt>
                <c:pt idx="9">
                  <c:v>0.29585832968737763</c:v>
                </c:pt>
                <c:pt idx="10">
                  <c:v>0.29888715716080488</c:v>
                </c:pt>
                <c:pt idx="11">
                  <c:v>0.30277470758172487</c:v>
                </c:pt>
                <c:pt idx="12">
                  <c:v>0.30759779271479487</c:v>
                </c:pt>
                <c:pt idx="13">
                  <c:v>0.31348739953086902</c:v>
                </c:pt>
                <c:pt idx="14">
                  <c:v>0.3206408161215018</c:v>
                </c:pt>
                <c:pt idx="15">
                  <c:v>0.32932040938496288</c:v>
                </c:pt>
                <c:pt idx="16">
                  <c:v>0.33980969816385376</c:v>
                </c:pt>
                <c:pt idx="17">
                  <c:v>0.35227988886466438</c:v>
                </c:pt>
                <c:pt idx="18">
                  <c:v>0.36653540205759577</c:v>
                </c:pt>
                <c:pt idx="19">
                  <c:v>0.38172142221926697</c:v>
                </c:pt>
                <c:pt idx="20">
                  <c:v>0.39627951295395836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5C-4C6D-918F-03A16C58C504}"/>
            </c:ext>
          </c:extLst>
        </c:ser>
        <c:ser>
          <c:idx val="3"/>
          <c:order val="3"/>
          <c:tx>
            <c:strRef>
              <c:f>'CC examples - CAS + Mod 2'!$Y$38</c:f>
              <c:strCache>
                <c:ptCount val="1"/>
                <c:pt idx="0">
                  <c:v>201012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2'!$Y$39:$Y$59</c:f>
              <c:numCache>
                <c:formatCode>0%</c:formatCode>
                <c:ptCount val="21"/>
                <c:pt idx="0">
                  <c:v>0.24019259388891381</c:v>
                </c:pt>
                <c:pt idx="1">
                  <c:v>0.24905765454578085</c:v>
                </c:pt>
                <c:pt idx="2">
                  <c:v>0.25674473292819311</c:v>
                </c:pt>
                <c:pt idx="3">
                  <c:v>0.26356465843055737</c:v>
                </c:pt>
                <c:pt idx="4">
                  <c:v>0.26978042921037465</c:v>
                </c:pt>
                <c:pt idx="5">
                  <c:v>0.27559962759101403</c:v>
                </c:pt>
                <c:pt idx="6">
                  <c:v>0.2811849151756145</c:v>
                </c:pt>
                <c:pt idx="7">
                  <c:v>0.28666399119334007</c:v>
                </c:pt>
                <c:pt idx="8">
                  <c:v>0.2921394115412882</c:v>
                </c:pt>
                <c:pt idx="9">
                  <c:v>0.29769865526506534</c:v>
                </c:pt>
                <c:pt idx="10">
                  <c:v>0.30342489344865514</c:v>
                </c:pt>
                <c:pt idx="11">
                  <c:v>0.30940891872212123</c:v>
                </c:pt>
                <c:pt idx="12">
                  <c:v>0.31576236400805641</c:v>
                </c:pt>
                <c:pt idx="13">
                  <c:v>0.32263113248878389</c:v>
                </c:pt>
                <c:pt idx="14">
                  <c:v>0.33020489271995085</c:v>
                </c:pt>
                <c:pt idx="15">
                  <c:v>0.33871226902195301</c:v>
                </c:pt>
                <c:pt idx="16">
                  <c:v>0.34838186015796196</c:v>
                </c:pt>
                <c:pt idx="17">
                  <c:v>0.35934250213336549</c:v>
                </c:pt>
                <c:pt idx="18">
                  <c:v>0.37145286973465408</c:v>
                </c:pt>
                <c:pt idx="19">
                  <c:v>0.38412094743090963</c:v>
                </c:pt>
                <c:pt idx="20">
                  <c:v>0.39627951295395819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5C-4C6D-918F-03A16C58C504}"/>
            </c:ext>
          </c:extLst>
        </c:ser>
        <c:ser>
          <c:idx val="4"/>
          <c:order val="4"/>
          <c:tx>
            <c:strRef>
              <c:f>'CC examples - CAS + Mod 2'!$Z$38</c:f>
              <c:strCache>
                <c:ptCount val="1"/>
                <c:pt idx="0">
                  <c:v>201103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2'!$Z$39:$Z$59</c:f>
              <c:numCache>
                <c:formatCode>0%</c:formatCode>
                <c:ptCount val="21"/>
                <c:pt idx="0">
                  <c:v>0.36228628988442541</c:v>
                </c:pt>
                <c:pt idx="1">
                  <c:v>0.35566824463385249</c:v>
                </c:pt>
                <c:pt idx="2">
                  <c:v>0.35060432055913199</c:v>
                </c:pt>
                <c:pt idx="3">
                  <c:v>0.3468724170266273</c:v>
                </c:pt>
                <c:pt idx="4">
                  <c:v>0.3442683209887909</c:v>
                </c:pt>
                <c:pt idx="5">
                  <c:v>0.34261643427095267</c:v>
                </c:pt>
                <c:pt idx="6">
                  <c:v>0.34176728121849359</c:v>
                </c:pt>
                <c:pt idx="7">
                  <c:v>0.34159658326705195</c:v>
                </c:pt>
                <c:pt idx="8">
                  <c:v>0.34200575031003078</c:v>
                </c:pt>
                <c:pt idx="9">
                  <c:v>0.34292371972761881</c:v>
                </c:pt>
                <c:pt idx="10">
                  <c:v>0.34431012773430791</c:v>
                </c:pt>
                <c:pt idx="11">
                  <c:v>0.3461597420391983</c:v>
                </c:pt>
                <c:pt idx="12">
                  <c:v>0.34850773659047951</c:v>
                </c:pt>
                <c:pt idx="13">
                  <c:v>0.35143440693643352</c:v>
                </c:pt>
                <c:pt idx="14">
                  <c:v>0.35506580761328005</c:v>
                </c:pt>
                <c:pt idx="15">
                  <c:v>0.3595631476318098</c:v>
                </c:pt>
                <c:pt idx="16">
                  <c:v>0.36508935421002259</c:v>
                </c:pt>
                <c:pt idx="17">
                  <c:v>0.37174023139350931</c:v>
                </c:pt>
                <c:pt idx="18">
                  <c:v>0.37944001896301416</c:v>
                </c:pt>
                <c:pt idx="19">
                  <c:v>0.38783692988165536</c:v>
                </c:pt>
                <c:pt idx="20">
                  <c:v>0.39627951295395819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5C-4C6D-918F-03A16C58C504}"/>
            </c:ext>
          </c:extLst>
        </c:ser>
        <c:ser>
          <c:idx val="5"/>
          <c:order val="5"/>
          <c:tx>
            <c:strRef>
              <c:f>'CC examples - CAS + Mod 2'!$AA$38</c:f>
              <c:strCache>
                <c:ptCount val="1"/>
                <c:pt idx="0">
                  <c:v>201106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2'!$AA$39:$AA$59</c:f>
              <c:numCache>
                <c:formatCode>0%</c:formatCode>
                <c:ptCount val="21"/>
                <c:pt idx="0">
                  <c:v>0.33400362553051194</c:v>
                </c:pt>
                <c:pt idx="1">
                  <c:v>0.34366082527367964</c:v>
                </c:pt>
                <c:pt idx="2">
                  <c:v>0.35214876857983002</c:v>
                </c:pt>
                <c:pt idx="3">
                  <c:v>0.35944464241197882</c:v>
                </c:pt>
                <c:pt idx="4">
                  <c:v>0.36555882972776277</c:v>
                </c:pt>
                <c:pt idx="5">
                  <c:v>0.37051915537893743</c:v>
                </c:pt>
                <c:pt idx="6">
                  <c:v>0.37437486728447045</c:v>
                </c:pt>
                <c:pt idx="7">
                  <c:v>0.37719997608790207</c:v>
                </c:pt>
                <c:pt idx="8">
                  <c:v>0.37909584645370759</c:v>
                </c:pt>
                <c:pt idx="9">
                  <c:v>0.38019285152480242</c:v>
                </c:pt>
                <c:pt idx="10">
                  <c:v>0.38065096663380599</c:v>
                </c:pt>
                <c:pt idx="11">
                  <c:v>0.38065927493355761</c:v>
                </c:pt>
                <c:pt idx="12">
                  <c:v>0.38043428399487406</c:v>
                </c:pt>
                <c:pt idx="13">
                  <c:v>0.38021643852663911</c:v>
                </c:pt>
                <c:pt idx="14">
                  <c:v>0.38026301918838218</c:v>
                </c:pt>
                <c:pt idx="15">
                  <c:v>0.38083379089481895</c:v>
                </c:pt>
                <c:pt idx="16">
                  <c:v>0.38216417764094945</c:v>
                </c:pt>
                <c:pt idx="17">
                  <c:v>0.3844217545455898</c:v>
                </c:pt>
                <c:pt idx="18">
                  <c:v>0.38764909046953866</c:v>
                </c:pt>
                <c:pt idx="19">
                  <c:v>0.39171099869819559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5C-4C6D-918F-03A16C58C504}"/>
            </c:ext>
          </c:extLst>
        </c:ser>
        <c:ser>
          <c:idx val="6"/>
          <c:order val="6"/>
          <c:tx>
            <c:strRef>
              <c:f>'CC examples - CAS + Mod 2'!$AB$38</c:f>
              <c:strCache>
                <c:ptCount val="1"/>
                <c:pt idx="0">
                  <c:v>201109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2'!$AB$39:$AB$59</c:f>
              <c:numCache>
                <c:formatCode>0%</c:formatCode>
                <c:ptCount val="21"/>
                <c:pt idx="0">
                  <c:v>0.58286298468722042</c:v>
                </c:pt>
                <c:pt idx="1">
                  <c:v>0.57250806989411918</c:v>
                </c:pt>
                <c:pt idx="2">
                  <c:v>0.56126033391943819</c:v>
                </c:pt>
                <c:pt idx="3">
                  <c:v>0.54931731153836449</c:v>
                </c:pt>
                <c:pt idx="4">
                  <c:v>0.53683887069527414</c:v>
                </c:pt>
                <c:pt idx="5">
                  <c:v>0.52397133562446785</c:v>
                </c:pt>
                <c:pt idx="6">
                  <c:v>0.51085492200183191</c:v>
                </c:pt>
                <c:pt idx="7">
                  <c:v>0.49763224311971183</c:v>
                </c:pt>
                <c:pt idx="8">
                  <c:v>0.4844560241548253</c:v>
                </c:pt>
                <c:pt idx="9">
                  <c:v>0.47149454584311146</c:v>
                </c:pt>
                <c:pt idx="10">
                  <c:v>0.45893391137568013</c:v>
                </c:pt>
                <c:pt idx="11">
                  <c:v>0.44697685327349784</c:v>
                </c:pt>
                <c:pt idx="12">
                  <c:v>0.43583824694546708</c:v>
                </c:pt>
                <c:pt idx="13">
                  <c:v>0.42573753066863324</c:v>
                </c:pt>
                <c:pt idx="14">
                  <c:v>0.41688774328450917</c:v>
                </c:pt>
                <c:pt idx="15">
                  <c:v>0.40948013062238969</c:v>
                </c:pt>
                <c:pt idx="16">
                  <c:v>0.40366299725446919</c:v>
                </c:pt>
                <c:pt idx="17">
                  <c:v>0.39951482810418409</c:v>
                </c:pt>
                <c:pt idx="18">
                  <c:v>0.39701547785511515</c:v>
                </c:pt>
                <c:pt idx="19">
                  <c:v>0.39602455858166896</c:v>
                </c:pt>
                <c:pt idx="20">
                  <c:v>0.39627951295395802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5C-4C6D-918F-03A16C58C504}"/>
            </c:ext>
          </c:extLst>
        </c:ser>
        <c:ser>
          <c:idx val="7"/>
          <c:order val="7"/>
          <c:tx>
            <c:strRef>
              <c:f>'CC examples - CAS + Mod 2'!$AC$38</c:f>
              <c:strCache>
                <c:ptCount val="1"/>
                <c:pt idx="0">
                  <c:v>201112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2'!$AC$39:$AC$59</c:f>
              <c:numCache>
                <c:formatCode>0%</c:formatCode>
                <c:ptCount val="21"/>
                <c:pt idx="0">
                  <c:v>0.78304365440260337</c:v>
                </c:pt>
                <c:pt idx="1">
                  <c:v>0.74395596319788448</c:v>
                </c:pt>
                <c:pt idx="2">
                  <c:v>0.70797777872520873</c:v>
                </c:pt>
                <c:pt idx="3">
                  <c:v>0.67487610262725439</c:v>
                </c:pt>
                <c:pt idx="4">
                  <c:v>0.64434925389450115</c:v>
                </c:pt>
                <c:pt idx="5">
                  <c:v>0.61611645186710307</c:v>
                </c:pt>
                <c:pt idx="6">
                  <c:v>0.58992648872326803</c:v>
                </c:pt>
                <c:pt idx="7">
                  <c:v>0.56556651771647137</c:v>
                </c:pt>
                <c:pt idx="8">
                  <c:v>0.54287003607493745</c:v>
                </c:pt>
                <c:pt idx="9">
                  <c:v>0.52172293597702335</c:v>
                </c:pt>
                <c:pt idx="10">
                  <c:v>0.50206639032636946</c:v>
                </c:pt>
                <c:pt idx="11">
                  <c:v>0.4838953965078665</c:v>
                </c:pt>
                <c:pt idx="12">
                  <c:v>0.46725205906896827</c:v>
                </c:pt>
                <c:pt idx="13">
                  <c:v>0.4522131633260143</c:v>
                </c:pt>
                <c:pt idx="14">
                  <c:v>0.43887228040323512</c:v>
                </c:pt>
                <c:pt idx="15">
                  <c:v>0.42731756606766286</c:v>
                </c:pt>
                <c:pt idx="16">
                  <c:v>0.41760756479799038</c:v>
                </c:pt>
                <c:pt idx="17">
                  <c:v>0.40974855659829901</c:v>
                </c:pt>
                <c:pt idx="18">
                  <c:v>0.40367785476027651</c:v>
                </c:pt>
                <c:pt idx="19">
                  <c:v>0.39925730494405481</c:v>
                </c:pt>
                <c:pt idx="20">
                  <c:v>0.39627951295395814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E5C-4C6D-918F-03A16C58C504}"/>
            </c:ext>
          </c:extLst>
        </c:ser>
        <c:ser>
          <c:idx val="8"/>
          <c:order val="8"/>
          <c:tx>
            <c:strRef>
              <c:f>'CC examples - CAS + Mod 2'!$AD$38</c:f>
              <c:strCache>
                <c:ptCount val="1"/>
                <c:pt idx="0">
                  <c:v>201203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2'!$AD$39:$AD$59</c:f>
              <c:numCache>
                <c:formatCode>0%</c:formatCode>
                <c:ptCount val="21"/>
                <c:pt idx="0">
                  <c:v>0.21387225977326094</c:v>
                </c:pt>
                <c:pt idx="1">
                  <c:v>0.25086576101316815</c:v>
                </c:pt>
                <c:pt idx="2">
                  <c:v>0.28455318366433408</c:v>
                </c:pt>
                <c:pt idx="3">
                  <c:v>0.31478989880273073</c:v>
                </c:pt>
                <c:pt idx="4">
                  <c:v>0.34152287408479826</c:v>
                </c:pt>
                <c:pt idx="5">
                  <c:v>0.3647198025137684</c:v>
                </c:pt>
                <c:pt idx="6">
                  <c:v>0.38437349132925253</c:v>
                </c:pt>
                <c:pt idx="7">
                  <c:v>0.40050618691320816</c:v>
                </c:pt>
                <c:pt idx="8">
                  <c:v>0.41317597764912134</c:v>
                </c:pt>
                <c:pt idx="9">
                  <c:v>0.42248671350152017</c:v>
                </c:pt>
                <c:pt idx="10">
                  <c:v>0.42860132947707141</c:v>
                </c:pt>
                <c:pt idx="11">
                  <c:v>0.43175622148827209</c:v>
                </c:pt>
                <c:pt idx="12">
                  <c:v>0.43227201511645702</c:v>
                </c:pt>
                <c:pt idx="13">
                  <c:v>0.43055476379186558</c:v>
                </c:pt>
                <c:pt idx="14">
                  <c:v>0.42708248961716327</c:v>
                </c:pt>
                <c:pt idx="15">
                  <c:v>0.42237556077115485</c:v>
                </c:pt>
                <c:pt idx="16">
                  <c:v>0.41695478805288427</c:v>
                </c:pt>
                <c:pt idx="17">
                  <c:v>0.41129600003082606</c:v>
                </c:pt>
                <c:pt idx="18">
                  <c:v>0.40579167038130004</c:v>
                </c:pt>
                <c:pt idx="19">
                  <c:v>0.40072785856363663</c:v>
                </c:pt>
                <c:pt idx="20">
                  <c:v>0.39627951295395825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5C-4C6D-918F-03A16C58C504}"/>
            </c:ext>
          </c:extLst>
        </c:ser>
        <c:ser>
          <c:idx val="9"/>
          <c:order val="9"/>
          <c:tx>
            <c:strRef>
              <c:f>'CC examples - CAS + Mod 2'!$AE$38</c:f>
              <c:strCache>
                <c:ptCount val="1"/>
                <c:pt idx="0">
                  <c:v>201206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2'!$AE$39:$AE$59</c:f>
              <c:numCache>
                <c:formatCode>0%</c:formatCode>
                <c:ptCount val="21"/>
                <c:pt idx="0">
                  <c:v>0.4317747025765129</c:v>
                </c:pt>
                <c:pt idx="1">
                  <c:v>0.42910872350083651</c:v>
                </c:pt>
                <c:pt idx="2">
                  <c:v>0.42838765337438806</c:v>
                </c:pt>
                <c:pt idx="3">
                  <c:v>0.42918096208032308</c:v>
                </c:pt>
                <c:pt idx="4">
                  <c:v>0.43111223373245905</c:v>
                </c:pt>
                <c:pt idx="5">
                  <c:v>0.43383249588484474</c:v>
                </c:pt>
                <c:pt idx="6">
                  <c:v>0.43699679947630171</c:v>
                </c:pt>
                <c:pt idx="7">
                  <c:v>0.44025078309431281</c:v>
                </c:pt>
                <c:pt idx="8">
                  <c:v>0.44322769524964073</c:v>
                </c:pt>
                <c:pt idx="9">
                  <c:v>0.44555714480057462</c:v>
                </c:pt>
                <c:pt idx="10">
                  <c:v>0.4468866487643513</c:v>
                </c:pt>
                <c:pt idx="11">
                  <c:v>0.44691519738777613</c:v>
                </c:pt>
                <c:pt idx="12">
                  <c:v>0.44543421116027732</c:v>
                </c:pt>
                <c:pt idx="13">
                  <c:v>0.4423662723378225</c:v>
                </c:pt>
                <c:pt idx="14">
                  <c:v>0.4377884988578194</c:v>
                </c:pt>
                <c:pt idx="15">
                  <c:v>0.43192887241446987</c:v>
                </c:pt>
                <c:pt idx="16">
                  <c:v>0.42513180156861863</c:v>
                </c:pt>
                <c:pt idx="17">
                  <c:v>0.41780078526413389</c:v>
                </c:pt>
                <c:pt idx="18">
                  <c:v>0.41033482606252475</c:v>
                </c:pt>
                <c:pt idx="19">
                  <c:v>0.40307609082749646</c:v>
                </c:pt>
                <c:pt idx="20">
                  <c:v>0.3962795129539583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E5C-4C6D-918F-03A16C58C504}"/>
            </c:ext>
          </c:extLst>
        </c:ser>
        <c:ser>
          <c:idx val="10"/>
          <c:order val="10"/>
          <c:tx>
            <c:strRef>
              <c:f>'CC examples - CAS + Mod 2'!$AF$38</c:f>
              <c:strCache>
                <c:ptCount val="1"/>
                <c:pt idx="0">
                  <c:v>201209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2'!$AF$39:$AF$59</c:f>
              <c:numCache>
                <c:formatCode>0%</c:formatCode>
                <c:ptCount val="21"/>
                <c:pt idx="0">
                  <c:v>0.57158470257344074</c:v>
                </c:pt>
                <c:pt idx="1">
                  <c:v>0.55613168789201173</c:v>
                </c:pt>
                <c:pt idx="2">
                  <c:v>0.5413730927192606</c:v>
                </c:pt>
                <c:pt idx="3">
                  <c:v>0.52780047304218891</c:v>
                </c:pt>
                <c:pt idx="4">
                  <c:v>0.51569019428441754</c:v>
                </c:pt>
                <c:pt idx="5">
                  <c:v>0.50516417884333797</c:v>
                </c:pt>
                <c:pt idx="6">
                  <c:v>0.49621165742334755</c:v>
                </c:pt>
                <c:pt idx="7">
                  <c:v>0.48870528976920341</c:v>
                </c:pt>
                <c:pt idx="8">
                  <c:v>0.48241446130169141</c:v>
                </c:pt>
                <c:pt idx="9">
                  <c:v>0.47701965709806515</c:v>
                </c:pt>
                <c:pt idx="10">
                  <c:v>0.47213289643900841</c:v>
                </c:pt>
                <c:pt idx="11">
                  <c:v>0.46732934346723937</c:v>
                </c:pt>
                <c:pt idx="12">
                  <c:v>0.46219298592847752</c:v>
                </c:pt>
                <c:pt idx="13">
                  <c:v>0.45637364369756267</c:v>
                </c:pt>
                <c:pt idx="14">
                  <c:v>0.44964447085550457</c:v>
                </c:pt>
                <c:pt idx="15">
                  <c:v>0.44194267596836678</c:v>
                </c:pt>
                <c:pt idx="16">
                  <c:v>0.43337712831301017</c:v>
                </c:pt>
                <c:pt idx="17">
                  <c:v>0.42419723589859198</c:v>
                </c:pt>
                <c:pt idx="18">
                  <c:v>0.41473303761286612</c:v>
                </c:pt>
                <c:pt idx="19">
                  <c:v>0.40532722190369253</c:v>
                </c:pt>
                <c:pt idx="20">
                  <c:v>0.39627951295395825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E5C-4C6D-918F-03A16C58C504}"/>
            </c:ext>
          </c:extLst>
        </c:ser>
        <c:ser>
          <c:idx val="11"/>
          <c:order val="11"/>
          <c:tx>
            <c:strRef>
              <c:f>'CC examples - CAS + Mod 2'!$AG$38</c:f>
              <c:strCache>
                <c:ptCount val="1"/>
                <c:pt idx="0">
                  <c:v>201212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2'!$AG$39:$AG$59</c:f>
              <c:numCache>
                <c:formatCode>0%</c:formatCode>
                <c:ptCount val="21"/>
                <c:pt idx="0">
                  <c:v>0.3902920081437265</c:v>
                </c:pt>
                <c:pt idx="1">
                  <c:v>0.39713575054652889</c:v>
                </c:pt>
                <c:pt idx="2">
                  <c:v>0.40442973377130309</c:v>
                </c:pt>
                <c:pt idx="3">
                  <c:v>0.41175992797829725</c:v>
                </c:pt>
                <c:pt idx="4">
                  <c:v>0.4188585176035447</c:v>
                </c:pt>
                <c:pt idx="5">
                  <c:v>0.42555025946601993</c:v>
                </c:pt>
                <c:pt idx="6">
                  <c:v>0.43171841128503408</c:v>
                </c:pt>
                <c:pt idx="7">
                  <c:v>0.43727423268862281</c:v>
                </c:pt>
                <c:pt idx="8">
                  <c:v>0.44212891094354045</c:v>
                </c:pt>
                <c:pt idx="9">
                  <c:v>0.44616876065353511</c:v>
                </c:pt>
                <c:pt idx="10">
                  <c:v>0.44923679713338921</c:v>
                </c:pt>
                <c:pt idx="11">
                  <c:v>0.45112600044361334</c:v>
                </c:pt>
                <c:pt idx="12">
                  <c:v>0.45159072899768998</c:v>
                </c:pt>
                <c:pt idx="13">
                  <c:v>0.45038099768600892</c:v>
                </c:pt>
                <c:pt idx="14">
                  <c:v>0.44729800701733852</c:v>
                </c:pt>
                <c:pt idx="15">
                  <c:v>0.44225889743711871</c:v>
                </c:pt>
                <c:pt idx="16">
                  <c:v>0.43534893558940613</c:v>
                </c:pt>
                <c:pt idx="17">
                  <c:v>0.42683798648424831</c:v>
                </c:pt>
                <c:pt idx="18">
                  <c:v>0.4171498822410607</c:v>
                </c:pt>
                <c:pt idx="19">
                  <c:v>0.4067933979790358</c:v>
                </c:pt>
                <c:pt idx="20">
                  <c:v>0.3962795129539583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E5C-4C6D-918F-03A16C58C504}"/>
            </c:ext>
          </c:extLst>
        </c:ser>
        <c:ser>
          <c:idx val="12"/>
          <c:order val="12"/>
          <c:tx>
            <c:strRef>
              <c:f>'CC examples - CAS + Mod 2'!$AH$38</c:f>
              <c:strCache>
                <c:ptCount val="1"/>
                <c:pt idx="0">
                  <c:v>201303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2'!$AH$39:$AH$59</c:f>
              <c:numCache>
                <c:formatCode>0%</c:formatCode>
                <c:ptCount val="21"/>
                <c:pt idx="0">
                  <c:v>0.348099049501365</c:v>
                </c:pt>
                <c:pt idx="1">
                  <c:v>0.3701816227570594</c:v>
                </c:pt>
                <c:pt idx="2">
                  <c:v>0.38894111489090338</c:v>
                </c:pt>
                <c:pt idx="3">
                  <c:v>0.4047087418404593</c:v>
                </c:pt>
                <c:pt idx="4">
                  <c:v>0.41781733911965335</c:v>
                </c:pt>
                <c:pt idx="5">
                  <c:v>0.42856963193284897</c:v>
                </c:pt>
                <c:pt idx="6">
                  <c:v>0.43724499960670737</c:v>
                </c:pt>
                <c:pt idx="7">
                  <c:v>0.44409809279977319</c:v>
                </c:pt>
                <c:pt idx="8">
                  <c:v>0.44935050335551791</c:v>
                </c:pt>
                <c:pt idx="9">
                  <c:v>0.45317691057671083</c:v>
                </c:pt>
                <c:pt idx="10">
                  <c:v>0.45568794874570834</c:v>
                </c:pt>
                <c:pt idx="11">
                  <c:v>0.45691370857847541</c:v>
                </c:pt>
                <c:pt idx="12">
                  <c:v>0.45679425271122392</c:v>
                </c:pt>
                <c:pt idx="13">
                  <c:v>0.45518601275740245</c:v>
                </c:pt>
                <c:pt idx="14">
                  <c:v>0.45189343102130913</c:v>
                </c:pt>
                <c:pt idx="15">
                  <c:v>0.44673056431308727</c:v>
                </c:pt>
                <c:pt idx="16">
                  <c:v>0.43960522913347599</c:v>
                </c:pt>
                <c:pt idx="17">
                  <c:v>0.43060126924000608</c:v>
                </c:pt>
                <c:pt idx="18">
                  <c:v>0.42002328241345072</c:v>
                </c:pt>
                <c:pt idx="19">
                  <c:v>0.40837601470357376</c:v>
                </c:pt>
                <c:pt idx="20">
                  <c:v>0.39627951295395814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E5C-4C6D-918F-03A16C58C504}"/>
            </c:ext>
          </c:extLst>
        </c:ser>
        <c:ser>
          <c:idx val="13"/>
          <c:order val="13"/>
          <c:tx>
            <c:strRef>
              <c:f>'CC examples - CAS + Mod 2'!$AI$38</c:f>
              <c:strCache>
                <c:ptCount val="1"/>
                <c:pt idx="0">
                  <c:v>201306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2'!$AI$39:$AI$59</c:f>
              <c:numCache>
                <c:formatCode>0%</c:formatCode>
                <c:ptCount val="21"/>
                <c:pt idx="0">
                  <c:v>0.80457034590996035</c:v>
                </c:pt>
                <c:pt idx="1">
                  <c:v>0.75404719148352961</c:v>
                </c:pt>
                <c:pt idx="2">
                  <c:v>0.71041224212492171</c:v>
                </c:pt>
                <c:pt idx="3">
                  <c:v>0.67262125786040772</c:v>
                </c:pt>
                <c:pt idx="4">
                  <c:v>0.63977646310888225</c:v>
                </c:pt>
                <c:pt idx="5">
                  <c:v>0.61116562146596309</c:v>
                </c:pt>
                <c:pt idx="6">
                  <c:v>0.58621364030816581</c:v>
                </c:pt>
                <c:pt idx="7">
                  <c:v>0.56444696059513988</c:v>
                </c:pt>
                <c:pt idx="8">
                  <c:v>0.54546458514995844</c:v>
                </c:pt>
                <c:pt idx="9">
                  <c:v>0.5289114383787431</c:v>
                </c:pt>
                <c:pt idx="10">
                  <c:v>0.51445126543848352</c:v>
                </c:pt>
                <c:pt idx="11">
                  <c:v>0.50173804090401652</c:v>
                </c:pt>
                <c:pt idx="12">
                  <c:v>0.49038749253505171</c:v>
                </c:pt>
                <c:pt idx="13">
                  <c:v>0.47995444868060744</c:v>
                </c:pt>
                <c:pt idx="14">
                  <c:v>0.46992725539042501</c:v>
                </c:pt>
                <c:pt idx="15">
                  <c:v>0.45975534229630899</c:v>
                </c:pt>
                <c:pt idx="16">
                  <c:v>0.44892408822126517</c:v>
                </c:pt>
                <c:pt idx="17">
                  <c:v>0.43707374157530615</c:v>
                </c:pt>
                <c:pt idx="18">
                  <c:v>0.42412480103656491</c:v>
                </c:pt>
                <c:pt idx="19">
                  <c:v>0.41034182801706037</c:v>
                </c:pt>
                <c:pt idx="20">
                  <c:v>0.39627951295395802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E5C-4C6D-918F-03A16C58C504}"/>
            </c:ext>
          </c:extLst>
        </c:ser>
        <c:ser>
          <c:idx val="14"/>
          <c:order val="14"/>
          <c:tx>
            <c:strRef>
              <c:f>'CC examples - CAS + Mod 2'!$AJ$38</c:f>
              <c:strCache>
                <c:ptCount val="1"/>
                <c:pt idx="0">
                  <c:v>201309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2'!$AJ$39:$AJ$59</c:f>
              <c:numCache>
                <c:formatCode>0%</c:formatCode>
                <c:ptCount val="21"/>
                <c:pt idx="0">
                  <c:v>0.30150212860519926</c:v>
                </c:pt>
                <c:pt idx="1">
                  <c:v>0.3280763724453164</c:v>
                </c:pt>
                <c:pt idx="2">
                  <c:v>0.35061443567138378</c:v>
                </c:pt>
                <c:pt idx="3">
                  <c:v>0.36966359533642201</c:v>
                </c:pt>
                <c:pt idx="4">
                  <c:v>0.38573193557608015</c:v>
                </c:pt>
                <c:pt idx="5">
                  <c:v>0.39924294820390915</c:v>
                </c:pt>
                <c:pt idx="6">
                  <c:v>0.41054832200702651</c:v>
                </c:pt>
                <c:pt idx="7">
                  <c:v>0.41994036593800138</c:v>
                </c:pt>
                <c:pt idx="8">
                  <c:v>0.42766248669293222</c:v>
                </c:pt>
                <c:pt idx="9">
                  <c:v>0.43391540448207472</c:v>
                </c:pt>
                <c:pt idx="10">
                  <c:v>0.43885626110632886</c:v>
                </c:pt>
                <c:pt idx="11">
                  <c:v>0.4425877570487643</c:v>
                </c:pt>
                <c:pt idx="12">
                  <c:v>0.44513562149525604</c:v>
                </c:pt>
                <c:pt idx="13">
                  <c:v>0.44641637794005334</c:v>
                </c:pt>
                <c:pt idx="14">
                  <c:v>0.44620549368763568</c:v>
                </c:pt>
                <c:pt idx="15">
                  <c:v>0.4441298269281353</c:v>
                </c:pt>
                <c:pt idx="16">
                  <c:v>0.43972320410566862</c:v>
                </c:pt>
                <c:pt idx="17">
                  <c:v>0.43258118028622417</c:v>
                </c:pt>
                <c:pt idx="18">
                  <c:v>0.42260030340838889</c:v>
                </c:pt>
                <c:pt idx="19">
                  <c:v>0.41018882731529144</c:v>
                </c:pt>
                <c:pt idx="20">
                  <c:v>0.39627951295395802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E5C-4C6D-918F-03A16C58C504}"/>
            </c:ext>
          </c:extLst>
        </c:ser>
        <c:ser>
          <c:idx val="15"/>
          <c:order val="15"/>
          <c:tx>
            <c:strRef>
              <c:f>'CC examples - CAS + Mod 2'!$AK$38</c:f>
              <c:strCache>
                <c:ptCount val="1"/>
                <c:pt idx="0">
                  <c:v>201312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2'!$AK$39:$AK$59</c:f>
              <c:numCache>
                <c:formatCode>0%</c:formatCode>
                <c:ptCount val="21"/>
                <c:pt idx="0">
                  <c:v>0.47881924041994733</c:v>
                </c:pt>
                <c:pt idx="1">
                  <c:v>0.46413285312538366</c:v>
                </c:pt>
                <c:pt idx="2">
                  <c:v>0.45388799923301815</c:v>
                </c:pt>
                <c:pt idx="3">
                  <c:v>0.44708078079911634</c:v>
                </c:pt>
                <c:pt idx="4">
                  <c:v>0.44287661288917685</c:v>
                </c:pt>
                <c:pt idx="5">
                  <c:v>0.44060258158767257</c:v>
                </c:pt>
                <c:pt idx="6">
                  <c:v>0.43971672804118794</c:v>
                </c:pt>
                <c:pt idx="7">
                  <c:v>0.43978534780365369</c:v>
                </c:pt>
                <c:pt idx="8">
                  <c:v>0.44046526472433734</c:v>
                </c:pt>
                <c:pt idx="9">
                  <c:v>0.44148802446373447</c:v>
                </c:pt>
                <c:pt idx="10">
                  <c:v>0.44264242290822831</c:v>
                </c:pt>
                <c:pt idx="11">
                  <c:v>0.44375092845010006</c:v>
                </c:pt>
                <c:pt idx="12">
                  <c:v>0.44463492137981331</c:v>
                </c:pt>
                <c:pt idx="13">
                  <c:v>0.44506473367672883</c:v>
                </c:pt>
                <c:pt idx="14">
                  <c:v>0.4446965874817374</c:v>
                </c:pt>
                <c:pt idx="15">
                  <c:v>0.44301536917891648</c:v>
                </c:pt>
                <c:pt idx="16">
                  <c:v>0.43933331163825351</c:v>
                </c:pt>
                <c:pt idx="17">
                  <c:v>0.43292396758172874</c:v>
                </c:pt>
                <c:pt idx="18">
                  <c:v>0.42333802936607473</c:v>
                </c:pt>
                <c:pt idx="19">
                  <c:v>0.41078581918306872</c:v>
                </c:pt>
                <c:pt idx="20">
                  <c:v>0.39627951295395802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E5C-4C6D-918F-03A16C58C504}"/>
            </c:ext>
          </c:extLst>
        </c:ser>
        <c:ser>
          <c:idx val="16"/>
          <c:order val="16"/>
          <c:tx>
            <c:strRef>
              <c:f>'CC examples - CAS + Mod 2'!$AL$38</c:f>
              <c:strCache>
                <c:ptCount val="1"/>
                <c:pt idx="0">
                  <c:v>201403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2'!$AL$39:$AL$59</c:f>
              <c:numCache>
                <c:formatCode>0%</c:formatCode>
                <c:ptCount val="21"/>
                <c:pt idx="0">
                  <c:v>0.32234729294835096</c:v>
                </c:pt>
                <c:pt idx="1">
                  <c:v>0.3431950540702417</c:v>
                </c:pt>
                <c:pt idx="2">
                  <c:v>0.3605243341545859</c:v>
                </c:pt>
                <c:pt idx="3">
                  <c:v>0.3749401717236393</c:v>
                </c:pt>
                <c:pt idx="4">
                  <c:v>0.38696423450385037</c:v>
                </c:pt>
                <c:pt idx="5">
                  <c:v>0.39701690457199712</c:v>
                </c:pt>
                <c:pt idx="6">
                  <c:v>0.40543876158578385</c:v>
                </c:pt>
                <c:pt idx="7">
                  <c:v>0.41250737148850958</c:v>
                </c:pt>
                <c:pt idx="8">
                  <c:v>0.41845042874124827</c:v>
                </c:pt>
                <c:pt idx="9">
                  <c:v>0.4234554150263935</c:v>
                </c:pt>
                <c:pt idx="10">
                  <c:v>0.42767459771170152</c:v>
                </c:pt>
                <c:pt idx="11">
                  <c:v>0.43122218348151226</c:v>
                </c:pt>
                <c:pt idx="12">
                  <c:v>0.43415783133577501</c:v>
                </c:pt>
                <c:pt idx="13">
                  <c:v>0.43644852863933248</c:v>
                </c:pt>
                <c:pt idx="14">
                  <c:v>0.43790267384536868</c:v>
                </c:pt>
                <c:pt idx="15">
                  <c:v>0.43808512229540536</c:v>
                </c:pt>
                <c:pt idx="16">
                  <c:v>0.4362640503439929</c:v>
                </c:pt>
                <c:pt idx="17">
                  <c:v>0.43150800139868001</c:v>
                </c:pt>
                <c:pt idx="18">
                  <c:v>0.42306548521580345</c:v>
                </c:pt>
                <c:pt idx="19">
                  <c:v>0.41095173677861252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E5C-4C6D-918F-03A16C58C504}"/>
            </c:ext>
          </c:extLst>
        </c:ser>
        <c:ser>
          <c:idx val="17"/>
          <c:order val="17"/>
          <c:tx>
            <c:strRef>
              <c:f>'CC examples - CAS + Mod 2'!$AM$38</c:f>
              <c:strCache>
                <c:ptCount val="1"/>
                <c:pt idx="0">
                  <c:v>201406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2'!$AM$39:$AM$59</c:f>
              <c:numCache>
                <c:formatCode>0%</c:formatCode>
                <c:ptCount val="21"/>
                <c:pt idx="0">
                  <c:v>0.61952822451029355</c:v>
                </c:pt>
                <c:pt idx="1">
                  <c:v>0.59536143764388749</c:v>
                </c:pt>
                <c:pt idx="2">
                  <c:v>0.57380676270585595</c:v>
                </c:pt>
                <c:pt idx="3">
                  <c:v>0.55460675276271709</c:v>
                </c:pt>
                <c:pt idx="4">
                  <c:v>0.53751421389593046</c:v>
                </c:pt>
                <c:pt idx="5">
                  <c:v>0.52232836392936299</c:v>
                </c:pt>
                <c:pt idx="6">
                  <c:v>0.50888340107208896</c:v>
                </c:pt>
                <c:pt idx="7">
                  <c:v>0.49704001901281941</c:v>
                </c:pt>
                <c:pt idx="8">
                  <c:v>0.48667911564936689</c:v>
                </c:pt>
                <c:pt idx="9">
                  <c:v>0.4776967759143706</c:v>
                </c:pt>
                <c:pt idx="10">
                  <c:v>0.4699989082356163</c:v>
                </c:pt>
                <c:pt idx="11">
                  <c:v>0.46349225425670065</c:v>
                </c:pt>
                <c:pt idx="12">
                  <c:v>0.45806548007650205</c:v>
                </c:pt>
                <c:pt idx="13">
                  <c:v>0.45354994996526649</c:v>
                </c:pt>
                <c:pt idx="14">
                  <c:v>0.44964743793686429</c:v>
                </c:pt>
                <c:pt idx="15">
                  <c:v>0.44582152007783066</c:v>
                </c:pt>
                <c:pt idx="16">
                  <c:v>0.44119308521752215</c:v>
                </c:pt>
                <c:pt idx="17">
                  <c:v>0.43457648756174805</c:v>
                </c:pt>
                <c:pt idx="18">
                  <c:v>0.42486543059728438</c:v>
                </c:pt>
                <c:pt idx="19">
                  <c:v>0.41176325332972469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E5C-4C6D-918F-03A16C58C504}"/>
            </c:ext>
          </c:extLst>
        </c:ser>
        <c:ser>
          <c:idx val="18"/>
          <c:order val="18"/>
          <c:tx>
            <c:strRef>
              <c:f>'CC examples - CAS + Mod 2'!$AN$38</c:f>
              <c:strCache>
                <c:ptCount val="1"/>
                <c:pt idx="0">
                  <c:v>201409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2'!$AN$39:$AN$59</c:f>
              <c:numCache>
                <c:formatCode>0%</c:formatCode>
                <c:ptCount val="21"/>
                <c:pt idx="0">
                  <c:v>0.39022383843740582</c:v>
                </c:pt>
                <c:pt idx="1">
                  <c:v>0.39777554534042125</c:v>
                </c:pt>
                <c:pt idx="2">
                  <c:v>0.40381381231479035</c:v>
                </c:pt>
                <c:pt idx="3">
                  <c:v>0.40863445946292165</c:v>
                </c:pt>
                <c:pt idx="4">
                  <c:v>0.41248038912888335</c:v>
                </c:pt>
                <c:pt idx="5">
                  <c:v>0.41554980301749145</c:v>
                </c:pt>
                <c:pt idx="6">
                  <c:v>0.41801219403718076</c:v>
                </c:pt>
                <c:pt idx="7">
                  <c:v>0.42001832353040353</c:v>
                </c:pt>
                <c:pt idx="8">
                  <c:v>0.42170615709079934</c:v>
                </c:pt>
                <c:pt idx="9">
                  <c:v>0.42320387579938662</c:v>
                </c:pt>
                <c:pt idx="10">
                  <c:v>0.42463001806323109</c:v>
                </c:pt>
                <c:pt idx="11">
                  <c:v>0.42608881830448936</c:v>
                </c:pt>
                <c:pt idx="12">
                  <c:v>0.42765493979588493</c:v>
                </c:pt>
                <c:pt idx="13">
                  <c:v>0.42933540586466601</c:v>
                </c:pt>
                <c:pt idx="14">
                  <c:v>0.43098960380948936</c:v>
                </c:pt>
                <c:pt idx="15">
                  <c:v>0.43219212195845919</c:v>
                </c:pt>
                <c:pt idx="16">
                  <c:v>0.43207007662325853</c:v>
                </c:pt>
                <c:pt idx="17">
                  <c:v>0.42927919520070673</c:v>
                </c:pt>
                <c:pt idx="18">
                  <c:v>0.42242960950761427</c:v>
                </c:pt>
                <c:pt idx="19">
                  <c:v>0.41104205880480582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E5C-4C6D-918F-03A16C58C504}"/>
            </c:ext>
          </c:extLst>
        </c:ser>
        <c:ser>
          <c:idx val="19"/>
          <c:order val="19"/>
          <c:tx>
            <c:strRef>
              <c:f>'CC examples - CAS + Mod 2'!$AO$38</c:f>
              <c:strCache>
                <c:ptCount val="1"/>
                <c:pt idx="0">
                  <c:v>201412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'CC examples - CAS + Mod 2'!$S$39:$S$59</c:f>
              <c:numCache>
                <c:formatCode>0%</c:formatCode>
                <c:ptCount val="21"/>
                <c:pt idx="0" formatCode="General">
                  <c:v>1E-4</c:v>
                </c:pt>
                <c:pt idx="1">
                  <c:v>0.05</c:v>
                </c:pt>
                <c:pt idx="2" formatCode="0.0%">
                  <c:v>0.1</c:v>
                </c:pt>
                <c:pt idx="3" formatCode="0.0%">
                  <c:v>0.15000000000000002</c:v>
                </c:pt>
                <c:pt idx="4" formatCode="0.0%">
                  <c:v>0.2</c:v>
                </c:pt>
                <c:pt idx="5" formatCode="0.0%">
                  <c:v>0.25</c:v>
                </c:pt>
                <c:pt idx="6" formatCode="0.0%">
                  <c:v>0.3</c:v>
                </c:pt>
                <c:pt idx="7" formatCode="0.0%">
                  <c:v>0.35</c:v>
                </c:pt>
                <c:pt idx="8" formatCode="0.0%">
                  <c:v>0.39999999999999997</c:v>
                </c:pt>
                <c:pt idx="9" formatCode="0.0%">
                  <c:v>0.44999999999999996</c:v>
                </c:pt>
                <c:pt idx="10" formatCode="0.0%">
                  <c:v>0.49999999999999994</c:v>
                </c:pt>
                <c:pt idx="11" formatCode="0.0%">
                  <c:v>0.54999999999999993</c:v>
                </c:pt>
                <c:pt idx="12" formatCode="0.0%">
                  <c:v>0.6</c:v>
                </c:pt>
                <c:pt idx="13" formatCode="0.0%">
                  <c:v>0.65</c:v>
                </c:pt>
                <c:pt idx="14" formatCode="0.0%">
                  <c:v>0.70000000000000007</c:v>
                </c:pt>
                <c:pt idx="15" formatCode="0.0%">
                  <c:v>0.75000000000000011</c:v>
                </c:pt>
                <c:pt idx="16" formatCode="0.0%">
                  <c:v>0.80000000000000016</c:v>
                </c:pt>
                <c:pt idx="17" formatCode="0.0%">
                  <c:v>0.8500000000000002</c:v>
                </c:pt>
                <c:pt idx="18" formatCode="0.0%">
                  <c:v>0.90000000000000024</c:v>
                </c:pt>
                <c:pt idx="19" formatCode="0.0%">
                  <c:v>0.95000000000000029</c:v>
                </c:pt>
                <c:pt idx="20" formatCode="0.0%">
                  <c:v>1.0000000000000002</c:v>
                </c:pt>
              </c:numCache>
            </c:numRef>
          </c:cat>
          <c:val>
            <c:numRef>
              <c:f>'CC examples - CAS + Mod 2'!$AO$39:$AO$59</c:f>
              <c:numCache>
                <c:formatCode>0%</c:formatCode>
                <c:ptCount val="21"/>
                <c:pt idx="0">
                  <c:v>0.31527530096537953</c:v>
                </c:pt>
                <c:pt idx="1">
                  <c:v>0.32017356890349069</c:v>
                </c:pt>
                <c:pt idx="2">
                  <c:v>0.32609880073293873</c:v>
                </c:pt>
                <c:pt idx="3">
                  <c:v>0.33279469178615534</c:v>
                </c:pt>
                <c:pt idx="4">
                  <c:v>0.34004116463228207</c:v>
                </c:pt>
                <c:pt idx="5">
                  <c:v>0.34764612459689503</c:v>
                </c:pt>
                <c:pt idx="6">
                  <c:v>0.35544687028797117</c:v>
                </c:pt>
                <c:pt idx="7">
                  <c:v>0.3633115506483009</c:v>
                </c:pt>
                <c:pt idx="8">
                  <c:v>0.37113993349383639</c:v>
                </c:pt>
                <c:pt idx="9">
                  <c:v>0.37886290527889077</c:v>
                </c:pt>
                <c:pt idx="10">
                  <c:v>0.38643987026505988</c:v>
                </c:pt>
                <c:pt idx="11">
                  <c:v>0.39385181750879356</c:v>
                </c:pt>
                <c:pt idx="12">
                  <c:v>0.40108398307317411</c:v>
                </c:pt>
                <c:pt idx="13">
                  <c:v>0.40808442085125096</c:v>
                </c:pt>
                <c:pt idx="14">
                  <c:v>0.41467475359132977</c:v>
                </c:pt>
                <c:pt idx="15">
                  <c:v>0.42038942650725275</c:v>
                </c:pt>
                <c:pt idx="16">
                  <c:v>0.4242698578608744</c:v>
                </c:pt>
                <c:pt idx="17">
                  <c:v>0.42480075553493846</c:v>
                </c:pt>
                <c:pt idx="18">
                  <c:v>0.42037544325971388</c:v>
                </c:pt>
                <c:pt idx="19">
                  <c:v>0.41042175903613576</c:v>
                </c:pt>
                <c:pt idx="20">
                  <c:v>0.39627951295395808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E5C-4C6D-918F-03A16C58C504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469825744"/>
        <c:axId val="1469824496"/>
        <c:axId val="1386358144"/>
      </c:surface3DChart>
      <c:catAx>
        <c:axId val="146982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824496"/>
        <c:crosses val="autoZero"/>
        <c:auto val="1"/>
        <c:lblAlgn val="ctr"/>
        <c:lblOffset val="100"/>
        <c:noMultiLvlLbl val="0"/>
      </c:catAx>
      <c:valAx>
        <c:axId val="146982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825744"/>
        <c:crosses val="autoZero"/>
        <c:crossBetween val="midCat"/>
      </c:valAx>
      <c:serAx>
        <c:axId val="13863581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82449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IELR - CC - Modified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'CC examples - CAS + Mod 2'!$B$31:$B$50</c:f>
              <c:strCache>
                <c:ptCount val="20"/>
                <c:pt idx="0">
                  <c:v>201003</c:v>
                </c:pt>
                <c:pt idx="1">
                  <c:v>201006</c:v>
                </c:pt>
                <c:pt idx="2">
                  <c:v>201009</c:v>
                </c:pt>
                <c:pt idx="3">
                  <c:v>201012</c:v>
                </c:pt>
                <c:pt idx="4">
                  <c:v>201103</c:v>
                </c:pt>
                <c:pt idx="5">
                  <c:v>201106</c:v>
                </c:pt>
                <c:pt idx="6">
                  <c:v>201109</c:v>
                </c:pt>
                <c:pt idx="7">
                  <c:v>201112</c:v>
                </c:pt>
                <c:pt idx="8">
                  <c:v>201203</c:v>
                </c:pt>
                <c:pt idx="9">
                  <c:v>201206</c:v>
                </c:pt>
                <c:pt idx="10">
                  <c:v>201209</c:v>
                </c:pt>
                <c:pt idx="11">
                  <c:v>201212</c:v>
                </c:pt>
                <c:pt idx="12">
                  <c:v>201303</c:v>
                </c:pt>
                <c:pt idx="13">
                  <c:v>201306</c:v>
                </c:pt>
                <c:pt idx="14">
                  <c:v>201309</c:v>
                </c:pt>
                <c:pt idx="15">
                  <c:v>201312</c:v>
                </c:pt>
                <c:pt idx="16">
                  <c:v>201403</c:v>
                </c:pt>
                <c:pt idx="17">
                  <c:v>201406</c:v>
                </c:pt>
                <c:pt idx="18">
                  <c:v>201409</c:v>
                </c:pt>
                <c:pt idx="19">
                  <c:v>201412</c:v>
                </c:pt>
              </c:strCache>
            </c:strRef>
          </c:cat>
          <c:val>
            <c:numRef>
              <c:f>'CC examples - CAS + Mod 2'!$I$31:$I$50</c:f>
              <c:numCache>
                <c:formatCode>0%</c:formatCode>
                <c:ptCount val="20"/>
                <c:pt idx="0">
                  <c:v>0.31073398166021432</c:v>
                </c:pt>
                <c:pt idx="1">
                  <c:v>0.30649655835188949</c:v>
                </c:pt>
                <c:pt idx="2">
                  <c:v>0.3108956250286497</c:v>
                </c:pt>
                <c:pt idx="3">
                  <c:v>0.31582152282275011</c:v>
                </c:pt>
                <c:pt idx="4">
                  <c:v>0.32700494405314934</c:v>
                </c:pt>
                <c:pt idx="5">
                  <c:v>0.33713565078970098</c:v>
                </c:pt>
                <c:pt idx="6">
                  <c:v>0.34994948085779143</c:v>
                </c:pt>
                <c:pt idx="7">
                  <c:v>0.35812125020918062</c:v>
                </c:pt>
                <c:pt idx="8">
                  <c:v>0.35431398699532718</c:v>
                </c:pt>
                <c:pt idx="9">
                  <c:v>0.35841519642682135</c:v>
                </c:pt>
                <c:pt idx="10">
                  <c:v>0.36199565271471185</c:v>
                </c:pt>
                <c:pt idx="11">
                  <c:v>0.35976952402520801</c:v>
                </c:pt>
                <c:pt idx="12">
                  <c:v>0.35895650614429592</c:v>
                </c:pt>
                <c:pt idx="13">
                  <c:v>0.3613435666661674</c:v>
                </c:pt>
                <c:pt idx="14">
                  <c:v>0.34876646417401386</c:v>
                </c:pt>
                <c:pt idx="15">
                  <c:v>0.34367505812931198</c:v>
                </c:pt>
                <c:pt idx="16">
                  <c:v>0.33475533506549598</c:v>
                </c:pt>
                <c:pt idx="17">
                  <c:v>0.3347266640705891</c:v>
                </c:pt>
                <c:pt idx="18">
                  <c:v>0.32788628420318205</c:v>
                </c:pt>
                <c:pt idx="19">
                  <c:v>0.32132094059012467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9E-4094-B814-B4C9A86B318A}"/>
            </c:ext>
          </c:extLst>
        </c:ser>
        <c:ser>
          <c:idx val="1"/>
          <c:order val="1"/>
          <c:tx>
            <c:strRef>
              <c:f>'CC examples - CAS'!$I$30</c:f>
              <c:strCache>
                <c:ptCount val="1"/>
                <c:pt idx="0">
                  <c:v> IELR - CC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'CC examples - CAS'!$I$31:$I$50</c:f>
              <c:numCache>
                <c:formatCode>0%</c:formatCode>
                <c:ptCount val="20"/>
                <c:pt idx="0">
                  <c:v>0.37774276115336408</c:v>
                </c:pt>
                <c:pt idx="1">
                  <c:v>0.37779514016872484</c:v>
                </c:pt>
                <c:pt idx="2">
                  <c:v>0.37841871887310402</c:v>
                </c:pt>
                <c:pt idx="3">
                  <c:v>0.37926264916332275</c:v>
                </c:pt>
                <c:pt idx="4">
                  <c:v>0.3805457487221624</c:v>
                </c:pt>
                <c:pt idx="5">
                  <c:v>0.38186029947737987</c:v>
                </c:pt>
                <c:pt idx="6">
                  <c:v>0.38330768913555568</c:v>
                </c:pt>
                <c:pt idx="7">
                  <c:v>0.38450942970984026</c:v>
                </c:pt>
                <c:pt idx="8">
                  <c:v>0.38515834093580936</c:v>
                </c:pt>
                <c:pt idx="9">
                  <c:v>0.38611425643100616</c:v>
                </c:pt>
                <c:pt idx="10">
                  <c:v>0.38700679521953257</c:v>
                </c:pt>
                <c:pt idx="11">
                  <c:v>0.3875995924624242</c:v>
                </c:pt>
                <c:pt idx="12">
                  <c:v>0.38818207631900897</c:v>
                </c:pt>
                <c:pt idx="13">
                  <c:v>0.38881690415077347</c:v>
                </c:pt>
                <c:pt idx="14">
                  <c:v>0.38874102100059449</c:v>
                </c:pt>
                <c:pt idx="15">
                  <c:v>0.38888042530212535</c:v>
                </c:pt>
                <c:pt idx="16">
                  <c:v>0.38879139456023465</c:v>
                </c:pt>
                <c:pt idx="17">
                  <c:v>0.38897257639493799</c:v>
                </c:pt>
                <c:pt idx="18">
                  <c:v>0.38882887681627143</c:v>
                </c:pt>
                <c:pt idx="19">
                  <c:v>0.38866796957168626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9E-4094-B814-B4C9A86B3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2418672"/>
        <c:axId val="1872423248"/>
      </c:lineChart>
      <c:catAx>
        <c:axId val="187241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423248"/>
        <c:crosses val="autoZero"/>
        <c:auto val="1"/>
        <c:lblAlgn val="ctr"/>
        <c:lblOffset val="100"/>
        <c:noMultiLvlLbl val="0"/>
      </c:catAx>
      <c:valAx>
        <c:axId val="1872423248"/>
        <c:scaling>
          <c:orientation val="minMax"/>
          <c:min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41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292551</xdr:colOff>
      <xdr:row>60</xdr:row>
      <xdr:rowOff>70757</xdr:rowOff>
    </xdr:from>
    <xdr:to>
      <xdr:col>31</xdr:col>
      <xdr:colOff>517070</xdr:colOff>
      <xdr:row>82</xdr:row>
      <xdr:rowOff>40821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22BF202-4E9C-E3D1-A486-7895345CC3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229719</xdr:colOff>
      <xdr:row>5</xdr:row>
      <xdr:rowOff>113178</xdr:rowOff>
    </xdr:from>
    <xdr:to>
      <xdr:col>28</xdr:col>
      <xdr:colOff>380999</xdr:colOff>
      <xdr:row>22</xdr:row>
      <xdr:rowOff>11205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E1FFEB-5AE5-44A3-6E47-9268B0754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140073</xdr:colOff>
      <xdr:row>29</xdr:row>
      <xdr:rowOff>45943</xdr:rowOff>
    </xdr:from>
    <xdr:to>
      <xdr:col>29</xdr:col>
      <xdr:colOff>582706</xdr:colOff>
      <xdr:row>52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E65F22-5862-1A08-6DD9-DE64D5B693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142873</xdr:colOff>
      <xdr:row>60</xdr:row>
      <xdr:rowOff>70756</xdr:rowOff>
    </xdr:from>
    <xdr:to>
      <xdr:col>31</xdr:col>
      <xdr:colOff>612320</xdr:colOff>
      <xdr:row>84</xdr:row>
      <xdr:rowOff>27213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02460F2-0AC9-36B6-4FB6-055F34001F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87</xdr:row>
      <xdr:rowOff>0</xdr:rowOff>
    </xdr:from>
    <xdr:to>
      <xdr:col>32</xdr:col>
      <xdr:colOff>196103</xdr:colOff>
      <xdr:row>105</xdr:row>
      <xdr:rowOff>77321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98A1B6-C899-4263-BA58-3A3F2CB241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308161</xdr:colOff>
      <xdr:row>50</xdr:row>
      <xdr:rowOff>124384</xdr:rowOff>
    </xdr:from>
    <xdr:to>
      <xdr:col>50</xdr:col>
      <xdr:colOff>39220</xdr:colOff>
      <xdr:row>64</xdr:row>
      <xdr:rowOff>189378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006D263-C44B-1488-164C-4DA2C170E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142873</xdr:colOff>
      <xdr:row>60</xdr:row>
      <xdr:rowOff>70756</xdr:rowOff>
    </xdr:from>
    <xdr:to>
      <xdr:col>31</xdr:col>
      <xdr:colOff>612320</xdr:colOff>
      <xdr:row>84</xdr:row>
      <xdr:rowOff>27213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0292CD-3FD0-4755-A8BD-0DAB06868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308162</xdr:colOff>
      <xdr:row>28</xdr:row>
      <xdr:rowOff>68355</xdr:rowOff>
    </xdr:from>
    <xdr:to>
      <xdr:col>27</xdr:col>
      <xdr:colOff>358589</xdr:colOff>
      <xdr:row>47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236D0BF-3157-449B-A249-B70A9D45A9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142873</xdr:colOff>
      <xdr:row>60</xdr:row>
      <xdr:rowOff>70756</xdr:rowOff>
    </xdr:from>
    <xdr:to>
      <xdr:col>31</xdr:col>
      <xdr:colOff>612320</xdr:colOff>
      <xdr:row>84</xdr:row>
      <xdr:rowOff>27213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A2F1E2-EFFA-4369-9E9A-F994222751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263348</xdr:colOff>
      <xdr:row>26</xdr:row>
      <xdr:rowOff>45943</xdr:rowOff>
    </xdr:from>
    <xdr:to>
      <xdr:col>47</xdr:col>
      <xdr:colOff>168099</xdr:colOff>
      <xdr:row>45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D36EFD1-8D48-458A-A37D-0513A6D336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-pc" refreshedDate="44797.255208796298" createdVersion="8" refreshedVersion="8" minRefreshableVersion="3" recordCount="210" xr:uid="{00000000-000A-0000-FFFF-FFFF08000000}">
  <cacheSource type="worksheet">
    <worksheetSource ref="A1:F211" sheet="sme_train"/>
  </cacheSource>
  <cacheFields count="8">
    <cacheField name="origin" numFmtId="14">
      <sharedItems containsSemiMixedTypes="0" containsNonDate="0" containsDate="1" containsString="0" minDate="2010-03-31T00:00:00" maxDate="2015-01-01T00:00:00" count="20">
        <d v="2010-03-31T00:00:00"/>
        <d v="2010-06-30T00:00:00"/>
        <d v="2010-09-30T00:00:00"/>
        <d v="2010-12-31T00:00:00"/>
        <d v="2011-03-31T00:00:00"/>
        <d v="2011-06-30T00:00:00"/>
        <d v="2011-09-30T00:00:00"/>
        <d v="2011-12-31T00:00:00"/>
        <d v="2012-03-31T00:00:00"/>
        <d v="2012-06-30T00:00:00"/>
        <d v="2012-09-30T00:00:00"/>
        <d v="2012-12-31T00:00:00"/>
        <d v="2013-03-31T00:00:00"/>
        <d v="2013-06-30T00:00:00"/>
        <d v="2013-09-30T00:00:00"/>
        <d v="2013-12-31T00:00:00"/>
        <d v="2014-03-31T00:00:00"/>
        <d v="2014-06-30T00:00:00"/>
        <d v="2014-09-30T00:00:00"/>
        <d v="2014-12-31T00:00:00"/>
      </sharedItems>
      <fieldGroup par="7" base="0">
        <rangePr groupBy="months" startDate="2010-03-31T00:00:00" endDate="2015-01-01T00:00:00"/>
        <groupItems count="14">
          <s v="&lt;2010/03/3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15/01/01"/>
        </groupItems>
      </fieldGroup>
    </cacheField>
    <cacheField name="development" numFmtId="14">
      <sharedItems containsSemiMixedTypes="0" containsNonDate="0" containsDate="1" containsString="0" minDate="2010-03-31T00:00:00" maxDate="2015-01-01T00:00:00"/>
    </cacheField>
    <cacheField name="lag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claim" numFmtId="0">
      <sharedItems containsSemiMixedTypes="0" containsString="0" containsNumber="1" minValue="15765.26046" maxValue="45858.20392"/>
    </cacheField>
    <cacheField name="premium" numFmtId="0">
      <sharedItems containsSemiMixedTypes="0" containsString="0" containsNumber="1" minValue="51346.666409999998" maxValue="69620.506410000002"/>
    </cacheField>
    <cacheField name="AY" numFmtId="14">
      <sharedItems count="20">
        <s v="201003"/>
        <s v="201006"/>
        <s v="201009"/>
        <s v="201012"/>
        <s v="201103"/>
        <s v="201106"/>
        <s v="201109"/>
        <s v="201112"/>
        <s v="201203"/>
        <s v="201206"/>
        <s v="201209"/>
        <s v="201212"/>
        <s v="201303"/>
        <s v="201306"/>
        <s v="201309"/>
        <s v="201312"/>
        <s v="201403"/>
        <s v="201406"/>
        <s v="201409"/>
        <s v="201412"/>
      </sharedItems>
    </cacheField>
    <cacheField name="Quarters" numFmtId="0" databaseField="0">
      <fieldGroup base="0">
        <rangePr groupBy="quarters" startDate="2010-03-31T00:00:00" endDate="2015-01-01T00:00:00"/>
        <groupItems count="6">
          <s v="&lt;2010/03/31"/>
          <s v="Qtr1"/>
          <s v="Qtr2"/>
          <s v="Qtr3"/>
          <s v="Qtr4"/>
          <s v="&gt;2015/01/01"/>
        </groupItems>
      </fieldGroup>
    </cacheField>
    <cacheField name="Years" numFmtId="0" databaseField="0">
      <fieldGroup base="0">
        <rangePr groupBy="years" startDate="2010-03-31T00:00:00" endDate="2015-01-01T00:00:00"/>
        <groupItems count="8">
          <s v="&lt;2010/03/31"/>
          <s v="2010"/>
          <s v="2011"/>
          <s v="2012"/>
          <s v="2013"/>
          <s v="2014"/>
          <s v="2015"/>
          <s v="&gt;2015/01/0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-pc" refreshedDate="44797.264093981481" createdVersion="8" refreshedVersion="8" minRefreshableVersion="3" recordCount="210" xr:uid="{00000000-000A-0000-FFFF-FFFF0C000000}">
  <cacheSource type="worksheet">
    <worksheetSource ref="A1:F211" sheet="cas_train"/>
  </cacheSource>
  <cacheFields count="10">
    <cacheField name="origin" numFmtId="14">
      <sharedItems containsSemiMixedTypes="0" containsNonDate="0" containsDate="1" containsString="0" minDate="2010-03-31T00:00:00" maxDate="2015-01-01T00:00:00" count="20">
        <d v="2010-03-31T00:00:00"/>
        <d v="2010-06-30T00:00:00"/>
        <d v="2010-09-30T00:00:00"/>
        <d v="2010-12-31T00:00:00"/>
        <d v="2011-03-31T00:00:00"/>
        <d v="2011-06-30T00:00:00"/>
        <d v="2011-09-30T00:00:00"/>
        <d v="2011-12-31T00:00:00"/>
        <d v="2012-03-31T00:00:00"/>
        <d v="2012-06-30T00:00:00"/>
        <d v="2012-09-30T00:00:00"/>
        <d v="2012-12-31T00:00:00"/>
        <d v="2013-03-31T00:00:00"/>
        <d v="2013-06-30T00:00:00"/>
        <d v="2013-09-30T00:00:00"/>
        <d v="2013-12-31T00:00:00"/>
        <d v="2014-03-31T00:00:00"/>
        <d v="2014-06-30T00:00:00"/>
        <d v="2014-09-30T00:00:00"/>
        <d v="2014-12-31T00:00:00"/>
      </sharedItems>
      <fieldGroup par="7" base="0">
        <rangePr groupBy="months" startDate="2010-03-31T00:00:00" endDate="2015-01-01T00:00:00"/>
        <groupItems count="14">
          <s v="&lt;2010/03/3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15/01/01"/>
        </groupItems>
      </fieldGroup>
    </cacheField>
    <cacheField name="development" numFmtId="14">
      <sharedItems containsSemiMixedTypes="0" containsNonDate="0" containsDate="1" containsString="0" minDate="2010-03-31T00:00:00" maxDate="2015-01-01T00:00:00" count="20">
        <d v="2010-03-31T00:00:00"/>
        <d v="2010-06-30T00:00:00"/>
        <d v="2010-09-30T00:00:00"/>
        <d v="2010-12-31T00:00:00"/>
        <d v="2011-03-31T00:00:00"/>
        <d v="2011-06-30T00:00:00"/>
        <d v="2011-09-30T00:00:00"/>
        <d v="2011-12-31T00:00:00"/>
        <d v="2012-03-31T00:00:00"/>
        <d v="2012-06-30T00:00:00"/>
        <d v="2012-09-30T00:00:00"/>
        <d v="2012-12-31T00:00:00"/>
        <d v="2013-03-31T00:00:00"/>
        <d v="2013-06-30T00:00:00"/>
        <d v="2013-09-30T00:00:00"/>
        <d v="2013-12-31T00:00:00"/>
        <d v="2014-03-31T00:00:00"/>
        <d v="2014-06-30T00:00:00"/>
        <d v="2014-09-30T00:00:00"/>
        <d v="2014-12-31T00:00:00"/>
      </sharedItems>
      <fieldGroup par="9" base="1">
        <rangePr groupBy="months" startDate="2010-03-31T00:00:00" endDate="2015-01-01T00:00:00"/>
        <groupItems count="14">
          <s v="&lt;2010/03/3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15/01/01"/>
        </groupItems>
      </fieldGroup>
    </cacheField>
    <cacheField name="lag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claim" numFmtId="0">
      <sharedItems containsSemiMixedTypes="0" containsString="0" containsNumber="1" minValue="508.12516470000003" maxValue="10125.441360000001"/>
    </cacheField>
    <cacheField name="premium" numFmtId="0">
      <sharedItems containsSemiMixedTypes="0" containsString="0" containsNumber="1" minValue="11502.870199999999" maxValue="25975.350200000001"/>
    </cacheField>
    <cacheField name="AY" numFmtId="14">
      <sharedItems count="20">
        <s v="201003"/>
        <s v="201006"/>
        <s v="201009"/>
        <s v="201012"/>
        <s v="201103"/>
        <s v="201106"/>
        <s v="201109"/>
        <s v="201112"/>
        <s v="201203"/>
        <s v="201206"/>
        <s v="201209"/>
        <s v="201212"/>
        <s v="201303"/>
        <s v="201306"/>
        <s v="201309"/>
        <s v="201312"/>
        <s v="201403"/>
        <s v="201406"/>
        <s v="201409"/>
        <s v="201412"/>
      </sharedItems>
    </cacheField>
    <cacheField name="Quarters" numFmtId="0" databaseField="0">
      <fieldGroup base="0">
        <rangePr groupBy="quarters" startDate="2010-03-31T00:00:00" endDate="2015-01-01T00:00:00"/>
        <groupItems count="6">
          <s v="&lt;2010/03/31"/>
          <s v="Qtr1"/>
          <s v="Qtr2"/>
          <s v="Qtr3"/>
          <s v="Qtr4"/>
          <s v="&gt;2015/01/01"/>
        </groupItems>
      </fieldGroup>
    </cacheField>
    <cacheField name="Years" numFmtId="0" databaseField="0">
      <fieldGroup base="0">
        <rangePr groupBy="years" startDate="2010-03-31T00:00:00" endDate="2015-01-01T00:00:00"/>
        <groupItems count="8">
          <s v="&lt;2010/03/31"/>
          <s v="2010"/>
          <s v="2011"/>
          <s v="2012"/>
          <s v="2013"/>
          <s v="2014"/>
          <s v="2015"/>
          <s v="&gt;2015/01/01"/>
        </groupItems>
      </fieldGroup>
    </cacheField>
    <cacheField name="Quarters2" numFmtId="0" databaseField="0">
      <fieldGroup base="1">
        <rangePr groupBy="quarters" startDate="2010-03-31T00:00:00" endDate="2015-01-01T00:00:00"/>
        <groupItems count="6">
          <s v="&lt;2010/03/31"/>
          <s v="Qtr1"/>
          <s v="Qtr2"/>
          <s v="Qtr3"/>
          <s v="Qtr4"/>
          <s v="&gt;2015/01/01"/>
        </groupItems>
      </fieldGroup>
    </cacheField>
    <cacheField name="Years2" numFmtId="0" databaseField="0">
      <fieldGroup base="1">
        <rangePr groupBy="years" startDate="2010-03-31T00:00:00" endDate="2015-01-01T00:00:00"/>
        <groupItems count="8">
          <s v="&lt;2010/03/31"/>
          <s v="2010"/>
          <s v="2011"/>
          <s v="2012"/>
          <s v="2013"/>
          <s v="2014"/>
          <s v="2015"/>
          <s v="&gt;2015/01/0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-pc" refreshedDate="44797.267291319447" createdVersion="8" refreshedVersion="8" minRefreshableVersion="3" recordCount="210" xr:uid="{00000000-000A-0000-FFFF-FFFF10000000}">
  <cacheSource type="worksheet">
    <worksheetSource ref="A1:F211" sheet="sme_test"/>
  </cacheSource>
  <cacheFields count="6">
    <cacheField name="origin" numFmtId="14">
      <sharedItems containsSemiMixedTypes="0" containsNonDate="0" containsDate="1" containsString="0" minDate="2010-03-31T00:00:00" maxDate="2015-01-01T00:00:00"/>
    </cacheField>
    <cacheField name="development" numFmtId="14">
      <sharedItems containsSemiMixedTypes="0" containsNonDate="0" containsDate="1" containsString="0" minDate="2015-03-31T00:00:00" maxDate="2020-01-01T00:00:00"/>
    </cacheField>
    <cacheField name="lag" numFmtId="0">
      <sharedItems containsSemiMixedTypes="0" containsString="0" containsNumber="1" containsInteger="1" minValue="1" maxValue="20" count="20"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claim" numFmtId="0">
      <sharedItems containsSemiMixedTypes="0" containsString="0" containsNumber="1" minValue="17754.29048" maxValue="45806.36363"/>
    </cacheField>
    <cacheField name="premium" numFmtId="0">
      <sharedItems containsSemiMixedTypes="0" containsString="0" containsNumber="1" containsInteger="1" minValue="0" maxValue="0"/>
    </cacheField>
    <cacheField name="AY" numFmtId="14">
      <sharedItems count="20">
        <s v="201003"/>
        <s v="201006"/>
        <s v="201009"/>
        <s v="201012"/>
        <s v="201103"/>
        <s v="201106"/>
        <s v="201109"/>
        <s v="201112"/>
        <s v="201203"/>
        <s v="201206"/>
        <s v="201209"/>
        <s v="201212"/>
        <s v="201303"/>
        <s v="201306"/>
        <s v="201309"/>
        <s v="201312"/>
        <s v="201403"/>
        <s v="201406"/>
        <s v="201409"/>
        <s v="2014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-pc" refreshedDate="44797.287723958332" createdVersion="8" refreshedVersion="8" minRefreshableVersion="3" recordCount="210" xr:uid="{00000000-000A-0000-FFFF-FFFF13000000}">
  <cacheSource type="worksheet">
    <worksheetSource ref="A1:F211" sheet="cas_test"/>
  </cacheSource>
  <cacheFields count="6">
    <cacheField name="origin" numFmtId="14">
      <sharedItems containsSemiMixedTypes="0" containsNonDate="0" containsDate="1" containsString="0" minDate="2010-03-31T00:00:00" maxDate="2015-01-01T00:00:00"/>
    </cacheField>
    <cacheField name="development" numFmtId="14">
      <sharedItems containsSemiMixedTypes="0" containsNonDate="0" containsDate="1" containsString="0" minDate="2015-03-31T00:00:00" maxDate="2020-01-01T00:00:00"/>
    </cacheField>
    <cacheField name="lag" numFmtId="0">
      <sharedItems containsSemiMixedTypes="0" containsString="0" containsNumber="1" containsInteger="1" minValue="1" maxValue="20" count="20"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claim" numFmtId="0">
      <sharedItems containsSemiMixedTypes="0" containsString="0" containsNumber="1" minValue="2370.2316040000001" maxValue="17347.31035"/>
    </cacheField>
    <cacheField name="premium" numFmtId="0">
      <sharedItems containsSemiMixedTypes="0" containsString="0" containsNumber="1" containsInteger="1" minValue="0" maxValue="0"/>
    </cacheField>
    <cacheField name="AY" numFmtId="14">
      <sharedItems count="20">
        <s v="201003"/>
        <s v="201006"/>
        <s v="201009"/>
        <s v="201012"/>
        <s v="201103"/>
        <s v="201106"/>
        <s v="201109"/>
        <s v="201112"/>
        <s v="201203"/>
        <s v="201206"/>
        <s v="201209"/>
        <s v="201212"/>
        <s v="201303"/>
        <s v="201306"/>
        <s v="201309"/>
        <s v="201312"/>
        <s v="201403"/>
        <s v="201406"/>
        <s v="201409"/>
        <s v="2014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0">
  <r>
    <x v="0"/>
    <d v="2010-03-31T00:00:00"/>
    <x v="0"/>
    <n v="15885.64381"/>
    <n v="51346.666409999998"/>
    <x v="0"/>
  </r>
  <r>
    <x v="0"/>
    <d v="2010-06-30T00:00:00"/>
    <x v="1"/>
    <n v="25177.51136"/>
    <n v="51346.666409999998"/>
    <x v="0"/>
  </r>
  <r>
    <x v="0"/>
    <d v="2010-09-30T00:00:00"/>
    <x v="2"/>
    <n v="26571.78973"/>
    <n v="51346.666409999998"/>
    <x v="0"/>
  </r>
  <r>
    <x v="0"/>
    <d v="2010-12-31T00:00:00"/>
    <x v="3"/>
    <n v="25520.487659999999"/>
    <n v="51346.666409999998"/>
    <x v="0"/>
  </r>
  <r>
    <x v="0"/>
    <d v="2011-03-31T00:00:00"/>
    <x v="4"/>
    <n v="25047.471720000001"/>
    <n v="51346.666409999998"/>
    <x v="0"/>
  </r>
  <r>
    <x v="0"/>
    <d v="2011-06-30T00:00:00"/>
    <x v="5"/>
    <n v="25025.264620000002"/>
    <n v="51346.666409999998"/>
    <x v="0"/>
  </r>
  <r>
    <x v="0"/>
    <d v="2011-09-30T00:00:00"/>
    <x v="6"/>
    <n v="24961.98862"/>
    <n v="51346.666409999998"/>
    <x v="0"/>
  </r>
  <r>
    <x v="0"/>
    <d v="2011-12-31T00:00:00"/>
    <x v="7"/>
    <n v="24447.97496"/>
    <n v="51346.666409999998"/>
    <x v="0"/>
  </r>
  <r>
    <x v="0"/>
    <d v="2012-03-31T00:00:00"/>
    <x v="8"/>
    <n v="24411.81725"/>
    <n v="51346.666409999998"/>
    <x v="0"/>
  </r>
  <r>
    <x v="0"/>
    <d v="2012-06-30T00:00:00"/>
    <x v="9"/>
    <n v="24305.19471"/>
    <n v="51346.666409999998"/>
    <x v="0"/>
  </r>
  <r>
    <x v="0"/>
    <d v="2012-09-30T00:00:00"/>
    <x v="10"/>
    <n v="24305.076079999999"/>
    <n v="51346.666409999998"/>
    <x v="0"/>
  </r>
  <r>
    <x v="0"/>
    <d v="2012-12-31T00:00:00"/>
    <x v="11"/>
    <n v="24285.312709999998"/>
    <n v="51346.666409999998"/>
    <x v="0"/>
  </r>
  <r>
    <x v="0"/>
    <d v="2013-03-31T00:00:00"/>
    <x v="12"/>
    <n v="24201.015889999999"/>
    <n v="51346.666409999998"/>
    <x v="0"/>
  </r>
  <r>
    <x v="0"/>
    <d v="2013-06-30T00:00:00"/>
    <x v="13"/>
    <n v="24159.401310000001"/>
    <n v="51346.666409999998"/>
    <x v="0"/>
  </r>
  <r>
    <x v="0"/>
    <d v="2013-09-30T00:00:00"/>
    <x v="14"/>
    <n v="24170.837019999999"/>
    <n v="51346.666409999998"/>
    <x v="0"/>
  </r>
  <r>
    <x v="0"/>
    <d v="2013-12-31T00:00:00"/>
    <x v="15"/>
    <n v="24108.415140000001"/>
    <n v="51346.666409999998"/>
    <x v="0"/>
  </r>
  <r>
    <x v="0"/>
    <d v="2014-03-31T00:00:00"/>
    <x v="16"/>
    <n v="24096.955709999998"/>
    <n v="51346.666409999998"/>
    <x v="0"/>
  </r>
  <r>
    <x v="0"/>
    <d v="2014-06-30T00:00:00"/>
    <x v="17"/>
    <n v="24096.955709999998"/>
    <n v="51346.666409999998"/>
    <x v="0"/>
  </r>
  <r>
    <x v="0"/>
    <d v="2014-09-30T00:00:00"/>
    <x v="18"/>
    <n v="24096.955709999998"/>
    <n v="51346.666409999998"/>
    <x v="0"/>
  </r>
  <r>
    <x v="0"/>
    <d v="2014-12-31T00:00:00"/>
    <x v="19"/>
    <n v="24096.955709999998"/>
    <n v="51346.666409999998"/>
    <x v="0"/>
  </r>
  <r>
    <x v="1"/>
    <d v="2010-06-30T00:00:00"/>
    <x v="0"/>
    <n v="18399.933389999998"/>
    <n v="53877.276409999999"/>
    <x v="1"/>
  </r>
  <r>
    <x v="1"/>
    <d v="2010-09-30T00:00:00"/>
    <x v="1"/>
    <n v="24209.50963"/>
    <n v="53877.276409999999"/>
    <x v="1"/>
  </r>
  <r>
    <x v="1"/>
    <d v="2010-12-31T00:00:00"/>
    <x v="2"/>
    <n v="22952.863079999999"/>
    <n v="53877.276409999999"/>
    <x v="1"/>
  </r>
  <r>
    <x v="1"/>
    <d v="2011-03-31T00:00:00"/>
    <x v="3"/>
    <n v="22781.446110000001"/>
    <n v="53877.276409999999"/>
    <x v="1"/>
  </r>
  <r>
    <x v="1"/>
    <d v="2011-06-30T00:00:00"/>
    <x v="4"/>
    <n v="22709.818729999999"/>
    <n v="53877.276409999999"/>
    <x v="1"/>
  </r>
  <r>
    <x v="1"/>
    <d v="2011-09-30T00:00:00"/>
    <x v="5"/>
    <n v="22939.481879999999"/>
    <n v="53877.276409999999"/>
    <x v="1"/>
  </r>
  <r>
    <x v="1"/>
    <d v="2011-12-31T00:00:00"/>
    <x v="6"/>
    <n v="22276.519329999999"/>
    <n v="53877.276409999999"/>
    <x v="1"/>
  </r>
  <r>
    <x v="1"/>
    <d v="2012-03-31T00:00:00"/>
    <x v="7"/>
    <n v="22394.64875"/>
    <n v="53877.276409999999"/>
    <x v="1"/>
  </r>
  <r>
    <x v="1"/>
    <d v="2012-06-30T00:00:00"/>
    <x v="8"/>
    <n v="22331.79982"/>
    <n v="53877.276409999999"/>
    <x v="1"/>
  </r>
  <r>
    <x v="1"/>
    <d v="2012-09-30T00:00:00"/>
    <x v="9"/>
    <n v="22614.845420000001"/>
    <n v="53877.276409999999"/>
    <x v="1"/>
  </r>
  <r>
    <x v="1"/>
    <d v="2012-12-31T00:00:00"/>
    <x v="10"/>
    <n v="22614.845420000001"/>
    <n v="53877.276409999999"/>
    <x v="1"/>
  </r>
  <r>
    <x v="1"/>
    <d v="2013-03-31T00:00:00"/>
    <x v="11"/>
    <n v="22614.750520000001"/>
    <n v="53877.276409999999"/>
    <x v="1"/>
  </r>
  <r>
    <x v="1"/>
    <d v="2013-06-30T00:00:00"/>
    <x v="12"/>
    <n v="22614.750520000001"/>
    <n v="53877.276409999999"/>
    <x v="1"/>
  </r>
  <r>
    <x v="1"/>
    <d v="2013-09-30T00:00:00"/>
    <x v="13"/>
    <n v="22614.750520000001"/>
    <n v="53877.276409999999"/>
    <x v="1"/>
  </r>
  <r>
    <x v="1"/>
    <d v="2013-12-31T00:00:00"/>
    <x v="14"/>
    <n v="22593.943220000001"/>
    <n v="53877.276409999999"/>
    <x v="1"/>
  </r>
  <r>
    <x v="1"/>
    <d v="2014-03-31T00:00:00"/>
    <x v="15"/>
    <n v="22590.242040000001"/>
    <n v="53877.276409999999"/>
    <x v="1"/>
  </r>
  <r>
    <x v="1"/>
    <d v="2014-06-30T00:00:00"/>
    <x v="16"/>
    <n v="22592.40107"/>
    <n v="53877.276409999999"/>
    <x v="1"/>
  </r>
  <r>
    <x v="1"/>
    <d v="2014-09-30T00:00:00"/>
    <x v="17"/>
    <n v="22592.40107"/>
    <n v="53877.276409999999"/>
    <x v="1"/>
  </r>
  <r>
    <x v="1"/>
    <d v="2014-12-31T00:00:00"/>
    <x v="18"/>
    <n v="22592.40107"/>
    <n v="53877.276409999999"/>
    <x v="1"/>
  </r>
  <r>
    <x v="2"/>
    <d v="2010-09-30T00:00:00"/>
    <x v="0"/>
    <n v="15765.26046"/>
    <n v="54577.096409999998"/>
    <x v="2"/>
  </r>
  <r>
    <x v="2"/>
    <d v="2010-12-31T00:00:00"/>
    <x v="1"/>
    <n v="18859.94774"/>
    <n v="54577.096409999998"/>
    <x v="2"/>
  </r>
  <r>
    <x v="2"/>
    <d v="2011-03-31T00:00:00"/>
    <x v="2"/>
    <n v="17972.304400000001"/>
    <n v="54577.096409999998"/>
    <x v="2"/>
  </r>
  <r>
    <x v="2"/>
    <d v="2011-06-30T00:00:00"/>
    <x v="3"/>
    <n v="18029.221949999999"/>
    <n v="54577.096409999998"/>
    <x v="2"/>
  </r>
  <r>
    <x v="2"/>
    <d v="2011-09-30T00:00:00"/>
    <x v="4"/>
    <n v="18099.710510000001"/>
    <n v="54577.096409999998"/>
    <x v="2"/>
  </r>
  <r>
    <x v="2"/>
    <d v="2011-12-31T00:00:00"/>
    <x v="5"/>
    <n v="17914.793710000002"/>
    <n v="54577.096409999998"/>
    <x v="2"/>
  </r>
  <r>
    <x v="2"/>
    <d v="2012-03-31T00:00:00"/>
    <x v="6"/>
    <n v="17918.92195"/>
    <n v="54577.096409999998"/>
    <x v="2"/>
  </r>
  <r>
    <x v="2"/>
    <d v="2012-06-30T00:00:00"/>
    <x v="7"/>
    <n v="17802.405859999999"/>
    <n v="54577.096409999998"/>
    <x v="2"/>
  </r>
  <r>
    <x v="2"/>
    <d v="2012-09-30T00:00:00"/>
    <x v="8"/>
    <n v="17854.412230000002"/>
    <n v="54577.096409999998"/>
    <x v="2"/>
  </r>
  <r>
    <x v="2"/>
    <d v="2012-12-31T00:00:00"/>
    <x v="9"/>
    <n v="17854.388500000001"/>
    <n v="54577.096409999998"/>
    <x v="2"/>
  </r>
  <r>
    <x v="2"/>
    <d v="2013-03-31T00:00:00"/>
    <x v="10"/>
    <n v="17867.888330000002"/>
    <n v="54577.096409999998"/>
    <x v="2"/>
  </r>
  <r>
    <x v="2"/>
    <d v="2013-06-30T00:00:00"/>
    <x v="11"/>
    <n v="17843.83064"/>
    <n v="54577.096409999998"/>
    <x v="2"/>
  </r>
  <r>
    <x v="2"/>
    <d v="2013-09-30T00:00:00"/>
    <x v="12"/>
    <n v="17828.907279999999"/>
    <n v="54577.096409999998"/>
    <x v="2"/>
  </r>
  <r>
    <x v="2"/>
    <d v="2013-12-31T00:00:00"/>
    <x v="13"/>
    <n v="17828.907279999999"/>
    <n v="54577.096409999998"/>
    <x v="2"/>
  </r>
  <r>
    <x v="2"/>
    <d v="2014-03-31T00:00:00"/>
    <x v="14"/>
    <n v="17762.309710000001"/>
    <n v="54577.096409999998"/>
    <x v="2"/>
  </r>
  <r>
    <x v="2"/>
    <d v="2014-06-30T00:00:00"/>
    <x v="15"/>
    <n v="17762.309710000001"/>
    <n v="54577.096409999998"/>
    <x v="2"/>
  </r>
  <r>
    <x v="2"/>
    <d v="2014-09-30T00:00:00"/>
    <x v="16"/>
    <n v="17754.29048"/>
    <n v="54577.096409999998"/>
    <x v="2"/>
  </r>
  <r>
    <x v="2"/>
    <d v="2014-12-31T00:00:00"/>
    <x v="17"/>
    <n v="17754.29048"/>
    <n v="54577.096409999998"/>
    <x v="2"/>
  </r>
  <r>
    <x v="3"/>
    <d v="2010-12-31T00:00:00"/>
    <x v="0"/>
    <n v="18049.151399999999"/>
    <n v="55527.486409999998"/>
    <x v="3"/>
  </r>
  <r>
    <x v="3"/>
    <d v="2011-03-31T00:00:00"/>
    <x v="1"/>
    <n v="24586.081289999998"/>
    <n v="55527.486409999998"/>
    <x v="3"/>
  </r>
  <r>
    <x v="3"/>
    <d v="2011-06-30T00:00:00"/>
    <x v="2"/>
    <n v="24557.610649999999"/>
    <n v="55527.486409999998"/>
    <x v="3"/>
  </r>
  <r>
    <x v="3"/>
    <d v="2011-09-30T00:00:00"/>
    <x v="3"/>
    <n v="24341.732029999999"/>
    <n v="55527.486409999998"/>
    <x v="3"/>
  </r>
  <r>
    <x v="3"/>
    <d v="2011-12-31T00:00:00"/>
    <x v="4"/>
    <n v="23850.186450000001"/>
    <n v="55527.486409999998"/>
    <x v="3"/>
  </r>
  <r>
    <x v="3"/>
    <d v="2012-03-31T00:00:00"/>
    <x v="5"/>
    <n v="23923.403439999998"/>
    <n v="55527.486409999998"/>
    <x v="3"/>
  </r>
  <r>
    <x v="3"/>
    <d v="2012-06-30T00:00:00"/>
    <x v="6"/>
    <n v="23912.371070000001"/>
    <n v="55527.486409999998"/>
    <x v="3"/>
  </r>
  <r>
    <x v="3"/>
    <d v="2012-09-30T00:00:00"/>
    <x v="7"/>
    <n v="23959.22899"/>
    <n v="55527.486409999998"/>
    <x v="3"/>
  </r>
  <r>
    <x v="3"/>
    <d v="2012-12-31T00:00:00"/>
    <x v="8"/>
    <n v="23949.216820000001"/>
    <n v="55527.486409999998"/>
    <x v="3"/>
  </r>
  <r>
    <x v="3"/>
    <d v="2013-03-31T00:00:00"/>
    <x v="9"/>
    <n v="23823.18679"/>
    <n v="55527.486409999998"/>
    <x v="3"/>
  </r>
  <r>
    <x v="3"/>
    <d v="2013-06-30T00:00:00"/>
    <x v="10"/>
    <n v="23921.386770000001"/>
    <n v="55527.486409999998"/>
    <x v="3"/>
  </r>
  <r>
    <x v="3"/>
    <d v="2013-09-30T00:00:00"/>
    <x v="11"/>
    <n v="23836.022300000001"/>
    <n v="55527.486409999998"/>
    <x v="3"/>
  </r>
  <r>
    <x v="3"/>
    <d v="2013-12-31T00:00:00"/>
    <x v="12"/>
    <n v="23862.87961"/>
    <n v="55527.486409999998"/>
    <x v="3"/>
  </r>
  <r>
    <x v="3"/>
    <d v="2014-03-31T00:00:00"/>
    <x v="13"/>
    <n v="23862.855879999999"/>
    <n v="55527.486409999998"/>
    <x v="3"/>
  </r>
  <r>
    <x v="3"/>
    <d v="2014-06-30T00:00:00"/>
    <x v="14"/>
    <n v="23853.152139999998"/>
    <n v="55527.486409999998"/>
    <x v="3"/>
  </r>
  <r>
    <x v="3"/>
    <d v="2014-09-30T00:00:00"/>
    <x v="15"/>
    <n v="23829.94857"/>
    <n v="55527.486409999998"/>
    <x v="3"/>
  </r>
  <r>
    <x v="3"/>
    <d v="2014-12-31T00:00:00"/>
    <x v="16"/>
    <n v="23829.94857"/>
    <n v="55527.486409999998"/>
    <x v="3"/>
  </r>
  <r>
    <x v="4"/>
    <d v="2011-03-31T00:00:00"/>
    <x v="0"/>
    <n v="22716.20089"/>
    <n v="56767.616410000002"/>
    <x v="4"/>
  </r>
  <r>
    <x v="4"/>
    <d v="2011-06-30T00:00:00"/>
    <x v="1"/>
    <n v="28799.498599999999"/>
    <n v="56767.616410000002"/>
    <x v="4"/>
  </r>
  <r>
    <x v="4"/>
    <d v="2011-09-30T00:00:00"/>
    <x v="2"/>
    <n v="28139.21703"/>
    <n v="56767.616410000002"/>
    <x v="4"/>
  </r>
  <r>
    <x v="4"/>
    <d v="2011-12-31T00:00:00"/>
    <x v="3"/>
    <n v="26890.423630000001"/>
    <n v="56767.616410000002"/>
    <x v="4"/>
  </r>
  <r>
    <x v="4"/>
    <d v="2012-03-31T00:00:00"/>
    <x v="4"/>
    <n v="27203.173599999998"/>
    <n v="56767.616410000002"/>
    <x v="4"/>
  </r>
  <r>
    <x v="4"/>
    <d v="2012-06-30T00:00:00"/>
    <x v="5"/>
    <n v="27014.270909999999"/>
    <n v="56767.616410000002"/>
    <x v="4"/>
  </r>
  <r>
    <x v="4"/>
    <d v="2012-09-30T00:00:00"/>
    <x v="6"/>
    <n v="26813.00722"/>
    <n v="56767.616410000002"/>
    <x v="4"/>
  </r>
  <r>
    <x v="4"/>
    <d v="2012-12-31T00:00:00"/>
    <x v="7"/>
    <n v="26542.227719999999"/>
    <n v="56767.616410000002"/>
    <x v="4"/>
  </r>
  <r>
    <x v="4"/>
    <d v="2013-03-31T00:00:00"/>
    <x v="8"/>
    <n v="26363.693080000001"/>
    <n v="56767.616410000002"/>
    <x v="4"/>
  </r>
  <r>
    <x v="4"/>
    <d v="2013-06-30T00:00:00"/>
    <x v="9"/>
    <n v="26522.725330000001"/>
    <n v="56767.616410000002"/>
    <x v="4"/>
  </r>
  <r>
    <x v="4"/>
    <d v="2013-09-30T00:00:00"/>
    <x v="10"/>
    <n v="26259.32447"/>
    <n v="56767.616410000002"/>
    <x v="4"/>
  </r>
  <r>
    <x v="4"/>
    <d v="2013-12-31T00:00:00"/>
    <x v="11"/>
    <n v="26256.548579999999"/>
    <n v="56767.616410000002"/>
    <x v="4"/>
  </r>
  <r>
    <x v="4"/>
    <d v="2014-03-31T00:00:00"/>
    <x v="12"/>
    <n v="26050.516049999998"/>
    <n v="56767.616410000002"/>
    <x v="4"/>
  </r>
  <r>
    <x v="4"/>
    <d v="2014-06-30T00:00:00"/>
    <x v="13"/>
    <n v="26000.573810000002"/>
    <n v="56767.616410000002"/>
    <x v="4"/>
  </r>
  <r>
    <x v="4"/>
    <d v="2014-09-30T00:00:00"/>
    <x v="14"/>
    <n v="26000.573810000002"/>
    <n v="56767.616410000002"/>
    <x v="4"/>
  </r>
  <r>
    <x v="4"/>
    <d v="2014-12-31T00:00:00"/>
    <x v="15"/>
    <n v="26000.573810000002"/>
    <n v="56767.616410000002"/>
    <x v="4"/>
  </r>
  <r>
    <x v="5"/>
    <d v="2011-06-30T00:00:00"/>
    <x v="0"/>
    <n v="17629.565350000001"/>
    <n v="57243.726410000003"/>
    <x v="5"/>
  </r>
  <r>
    <x v="5"/>
    <d v="2011-09-30T00:00:00"/>
    <x v="1"/>
    <n v="24164.4074"/>
    <n v="57243.726410000003"/>
    <x v="5"/>
  </r>
  <r>
    <x v="5"/>
    <d v="2011-12-31T00:00:00"/>
    <x v="2"/>
    <n v="23772.509050000001"/>
    <n v="57243.726410000003"/>
    <x v="5"/>
  </r>
  <r>
    <x v="5"/>
    <d v="2012-03-31T00:00:00"/>
    <x v="3"/>
    <n v="23060.505819999998"/>
    <n v="57243.726410000003"/>
    <x v="5"/>
  </r>
  <r>
    <x v="5"/>
    <d v="2012-06-30T00:00:00"/>
    <x v="4"/>
    <n v="22775.34865"/>
    <n v="57243.726410000003"/>
    <x v="5"/>
  </r>
  <r>
    <x v="5"/>
    <d v="2012-09-30T00:00:00"/>
    <x v="5"/>
    <n v="22658.66648"/>
    <n v="57243.726410000003"/>
    <x v="5"/>
  </r>
  <r>
    <x v="5"/>
    <d v="2012-12-31T00:00:00"/>
    <x v="6"/>
    <n v="22348.526320000001"/>
    <n v="57243.726410000003"/>
    <x v="5"/>
  </r>
  <r>
    <x v="5"/>
    <d v="2013-03-31T00:00:00"/>
    <x v="7"/>
    <n v="22241.50044"/>
    <n v="57243.726410000003"/>
    <x v="5"/>
  </r>
  <r>
    <x v="5"/>
    <d v="2013-06-30T00:00:00"/>
    <x v="8"/>
    <n v="22254.90537"/>
    <n v="57243.726410000003"/>
    <x v="5"/>
  </r>
  <r>
    <x v="5"/>
    <d v="2013-09-30T00:00:00"/>
    <x v="9"/>
    <n v="22228.854729999999"/>
    <n v="57243.726410000003"/>
    <x v="5"/>
  </r>
  <r>
    <x v="5"/>
    <d v="2013-12-31T00:00:00"/>
    <x v="10"/>
    <n v="22228.854729999999"/>
    <n v="57243.726410000003"/>
    <x v="5"/>
  </r>
  <r>
    <x v="5"/>
    <d v="2014-03-31T00:00:00"/>
    <x v="11"/>
    <n v="22197.63193"/>
    <n v="57243.726410000003"/>
    <x v="5"/>
  </r>
  <r>
    <x v="5"/>
    <d v="2014-06-30T00:00:00"/>
    <x v="12"/>
    <n v="22114.450209999999"/>
    <n v="57243.726410000003"/>
    <x v="5"/>
  </r>
  <r>
    <x v="5"/>
    <d v="2014-09-30T00:00:00"/>
    <x v="13"/>
    <n v="22062.420119999999"/>
    <n v="57243.726410000003"/>
    <x v="5"/>
  </r>
  <r>
    <x v="5"/>
    <d v="2014-12-31T00:00:00"/>
    <x v="14"/>
    <n v="22062.420119999999"/>
    <n v="57243.726410000003"/>
    <x v="5"/>
  </r>
  <r>
    <x v="6"/>
    <d v="2011-09-30T00:00:00"/>
    <x v="0"/>
    <n v="20852.109530000002"/>
    <n v="58405.126409999997"/>
    <x v="6"/>
  </r>
  <r>
    <x v="6"/>
    <d v="2011-12-31T00:00:00"/>
    <x v="1"/>
    <n v="28044.433529999998"/>
    <n v="58405.126409999997"/>
    <x v="6"/>
  </r>
  <r>
    <x v="6"/>
    <d v="2012-03-31T00:00:00"/>
    <x v="2"/>
    <n v="27322.346949999999"/>
    <n v="58405.126409999997"/>
    <x v="6"/>
  </r>
  <r>
    <x v="6"/>
    <d v="2012-06-30T00:00:00"/>
    <x v="3"/>
    <n v="27051.21156"/>
    <n v="58405.126409999997"/>
    <x v="6"/>
  </r>
  <r>
    <x v="6"/>
    <d v="2012-09-30T00:00:00"/>
    <x v="4"/>
    <n v="26749.754949999999"/>
    <n v="58405.126409999997"/>
    <x v="6"/>
  </r>
  <r>
    <x v="6"/>
    <d v="2012-12-31T00:00:00"/>
    <x v="5"/>
    <n v="26292.919819999999"/>
    <n v="58405.126409999997"/>
    <x v="6"/>
  </r>
  <r>
    <x v="6"/>
    <d v="2013-03-31T00:00:00"/>
    <x v="6"/>
    <n v="26136.592290000001"/>
    <n v="58405.126409999997"/>
    <x v="6"/>
  </r>
  <r>
    <x v="6"/>
    <d v="2013-06-30T00:00:00"/>
    <x v="7"/>
    <n v="26133.009730000002"/>
    <n v="58405.126409999997"/>
    <x v="6"/>
  </r>
  <r>
    <x v="6"/>
    <d v="2013-09-30T00:00:00"/>
    <x v="8"/>
    <n v="26309.788670000002"/>
    <n v="58405.126409999997"/>
    <x v="6"/>
  </r>
  <r>
    <x v="6"/>
    <d v="2013-12-31T00:00:00"/>
    <x v="9"/>
    <n v="26223.902249999999"/>
    <n v="58405.126409999997"/>
    <x v="6"/>
  </r>
  <r>
    <x v="6"/>
    <d v="2014-03-31T00:00:00"/>
    <x v="10"/>
    <n v="25942.89704"/>
    <n v="58405.126409999997"/>
    <x v="6"/>
  </r>
  <r>
    <x v="6"/>
    <d v="2014-06-30T00:00:00"/>
    <x v="11"/>
    <n v="25952.434700000002"/>
    <n v="58405.126409999997"/>
    <x v="6"/>
  </r>
  <r>
    <x v="6"/>
    <d v="2014-09-30T00:00:00"/>
    <x v="12"/>
    <n v="25941.995470000002"/>
    <n v="58405.126409999997"/>
    <x v="6"/>
  </r>
  <r>
    <x v="6"/>
    <d v="2014-12-31T00:00:00"/>
    <x v="13"/>
    <n v="25940.097430000002"/>
    <n v="58405.126409999997"/>
    <x v="6"/>
  </r>
  <r>
    <x v="7"/>
    <d v="2011-12-31T00:00:00"/>
    <x v="0"/>
    <n v="21489.49596"/>
    <n v="59911.596409999998"/>
    <x v="7"/>
  </r>
  <r>
    <x v="7"/>
    <d v="2012-03-31T00:00:00"/>
    <x v="1"/>
    <n v="32918.535750000003"/>
    <n v="59911.596409999998"/>
    <x v="7"/>
  </r>
  <r>
    <x v="7"/>
    <d v="2012-06-30T00:00:00"/>
    <x v="2"/>
    <n v="32872.437039999997"/>
    <n v="59911.596409999998"/>
    <x v="7"/>
  </r>
  <r>
    <x v="7"/>
    <d v="2012-09-30T00:00:00"/>
    <x v="3"/>
    <n v="32830.063240000003"/>
    <n v="59911.596409999998"/>
    <x v="7"/>
  </r>
  <r>
    <x v="7"/>
    <d v="2012-12-31T00:00:00"/>
    <x v="4"/>
    <n v="32575.06122"/>
    <n v="59911.596409999998"/>
    <x v="7"/>
  </r>
  <r>
    <x v="7"/>
    <d v="2013-03-31T00:00:00"/>
    <x v="5"/>
    <n v="32552.94902"/>
    <n v="59911.596409999998"/>
    <x v="7"/>
  </r>
  <r>
    <x v="7"/>
    <d v="2013-06-30T00:00:00"/>
    <x v="6"/>
    <n v="32536.269970000001"/>
    <n v="59911.596409999998"/>
    <x v="7"/>
  </r>
  <r>
    <x v="7"/>
    <d v="2013-09-30T00:00:00"/>
    <x v="7"/>
    <n v="32443.526860000002"/>
    <n v="59911.596409999998"/>
    <x v="7"/>
  </r>
  <r>
    <x v="7"/>
    <d v="2013-12-31T00:00:00"/>
    <x v="8"/>
    <n v="32453.467860000001"/>
    <n v="59911.596409999998"/>
    <x v="7"/>
  </r>
  <r>
    <x v="7"/>
    <d v="2014-03-31T00:00:00"/>
    <x v="9"/>
    <n v="32324.495869999999"/>
    <n v="59911.596409999998"/>
    <x v="7"/>
  </r>
  <r>
    <x v="7"/>
    <d v="2014-06-30T00:00:00"/>
    <x v="10"/>
    <n v="32324.495869999999"/>
    <n v="59911.596409999998"/>
    <x v="7"/>
  </r>
  <r>
    <x v="7"/>
    <d v="2014-09-30T00:00:00"/>
    <x v="11"/>
    <n v="32495.50951"/>
    <n v="59911.596409999998"/>
    <x v="7"/>
  </r>
  <r>
    <x v="7"/>
    <d v="2014-12-31T00:00:00"/>
    <x v="12"/>
    <n v="32474.15653"/>
    <n v="59911.596409999998"/>
    <x v="7"/>
  </r>
  <r>
    <x v="8"/>
    <d v="2012-03-31T00:00:00"/>
    <x v="0"/>
    <n v="18254.16372"/>
    <n v="60339.49641"/>
    <x v="8"/>
  </r>
  <r>
    <x v="8"/>
    <d v="2012-06-30T00:00:00"/>
    <x v="1"/>
    <n v="29871.29953"/>
    <n v="60339.49641"/>
    <x v="8"/>
  </r>
  <r>
    <x v="8"/>
    <d v="2012-09-30T00:00:00"/>
    <x v="2"/>
    <n v="30149.220420000001"/>
    <n v="60339.49641"/>
    <x v="8"/>
  </r>
  <r>
    <x v="8"/>
    <d v="2012-12-31T00:00:00"/>
    <x v="3"/>
    <n v="29904.396649999999"/>
    <n v="60339.49641"/>
    <x v="8"/>
  </r>
  <r>
    <x v="8"/>
    <d v="2013-03-31T00:00:00"/>
    <x v="4"/>
    <n v="30122.22077"/>
    <n v="60339.49641"/>
    <x v="8"/>
  </r>
  <r>
    <x v="8"/>
    <d v="2013-06-30T00:00:00"/>
    <x v="5"/>
    <n v="30281.72752"/>
    <n v="60339.49641"/>
    <x v="8"/>
  </r>
  <r>
    <x v="8"/>
    <d v="2013-09-30T00:00:00"/>
    <x v="6"/>
    <n v="30003.616829999999"/>
    <n v="60339.49641"/>
    <x v="8"/>
  </r>
  <r>
    <x v="8"/>
    <d v="2013-12-31T00:00:00"/>
    <x v="7"/>
    <n v="30047.31926"/>
    <n v="60339.49641"/>
    <x v="8"/>
  </r>
  <r>
    <x v="8"/>
    <d v="2014-03-31T00:00:00"/>
    <x v="8"/>
    <n v="29792.98155"/>
    <n v="60339.49641"/>
    <x v="8"/>
  </r>
  <r>
    <x v="8"/>
    <d v="2014-06-30T00:00:00"/>
    <x v="9"/>
    <n v="29747.97422"/>
    <n v="60339.49641"/>
    <x v="8"/>
  </r>
  <r>
    <x v="8"/>
    <d v="2014-09-30T00:00:00"/>
    <x v="10"/>
    <n v="29722.303189999999"/>
    <n v="60339.49641"/>
    <x v="8"/>
  </r>
  <r>
    <x v="8"/>
    <d v="2014-12-31T00:00:00"/>
    <x v="11"/>
    <n v="29755.305410000001"/>
    <n v="60339.49641"/>
    <x v="8"/>
  </r>
  <r>
    <x v="9"/>
    <d v="2012-06-30T00:00:00"/>
    <x v="0"/>
    <n v="21811.61752"/>
    <n v="61308.49641"/>
    <x v="9"/>
  </r>
  <r>
    <x v="9"/>
    <d v="2012-09-30T00:00:00"/>
    <x v="1"/>
    <n v="29825.699059999999"/>
    <n v="61308.49641"/>
    <x v="9"/>
  </r>
  <r>
    <x v="9"/>
    <d v="2012-12-31T00:00:00"/>
    <x v="2"/>
    <n v="28046.972160000001"/>
    <n v="61308.49641"/>
    <x v="9"/>
  </r>
  <r>
    <x v="9"/>
    <d v="2013-03-31T00:00:00"/>
    <x v="3"/>
    <n v="27959.59103"/>
    <n v="61308.49641"/>
    <x v="9"/>
  </r>
  <r>
    <x v="9"/>
    <d v="2013-06-30T00:00:00"/>
    <x v="4"/>
    <n v="28009.272290000001"/>
    <n v="61308.49641"/>
    <x v="9"/>
  </r>
  <r>
    <x v="9"/>
    <d v="2013-09-30T00:00:00"/>
    <x v="5"/>
    <n v="27812.516449999999"/>
    <n v="61308.49641"/>
    <x v="9"/>
  </r>
  <r>
    <x v="9"/>
    <d v="2013-12-31T00:00:00"/>
    <x v="6"/>
    <n v="27604.585879999999"/>
    <n v="61308.49641"/>
    <x v="9"/>
  </r>
  <r>
    <x v="9"/>
    <d v="2014-03-31T00:00:00"/>
    <x v="7"/>
    <n v="27430.535380000001"/>
    <n v="61308.49641"/>
    <x v="9"/>
  </r>
  <r>
    <x v="9"/>
    <d v="2014-06-30T00:00:00"/>
    <x v="8"/>
    <n v="27502.7559"/>
    <n v="61308.49641"/>
    <x v="9"/>
  </r>
  <r>
    <x v="9"/>
    <d v="2014-09-30T00:00:00"/>
    <x v="9"/>
    <n v="27206.969690000002"/>
    <n v="61308.49641"/>
    <x v="9"/>
  </r>
  <r>
    <x v="9"/>
    <d v="2014-12-31T00:00:00"/>
    <x v="10"/>
    <n v="27183.789840000001"/>
    <n v="61308.49641"/>
    <x v="9"/>
  </r>
  <r>
    <x v="10"/>
    <d v="2012-09-30T00:00:00"/>
    <x v="0"/>
    <n v="25062.323899999999"/>
    <n v="60262.306409999997"/>
    <x v="10"/>
  </r>
  <r>
    <x v="10"/>
    <d v="2012-12-31T00:00:00"/>
    <x v="1"/>
    <n v="35858.55629"/>
    <n v="60262.306409999997"/>
    <x v="10"/>
  </r>
  <r>
    <x v="10"/>
    <d v="2013-03-31T00:00:00"/>
    <x v="2"/>
    <n v="36143.499929999998"/>
    <n v="60262.306409999997"/>
    <x v="10"/>
  </r>
  <r>
    <x v="10"/>
    <d v="2013-06-30T00:00:00"/>
    <x v="3"/>
    <n v="35174.40683"/>
    <n v="60262.306409999997"/>
    <x v="10"/>
  </r>
  <r>
    <x v="10"/>
    <d v="2013-09-30T00:00:00"/>
    <x v="4"/>
    <n v="34845.025260000002"/>
    <n v="60262.306409999997"/>
    <x v="10"/>
  </r>
  <r>
    <x v="10"/>
    <d v="2013-12-31T00:00:00"/>
    <x v="5"/>
    <n v="34032.330869999998"/>
    <n v="60262.306409999997"/>
    <x v="10"/>
  </r>
  <r>
    <x v="10"/>
    <d v="2014-03-31T00:00:00"/>
    <x v="6"/>
    <n v="33252.093009999997"/>
    <n v="60262.306409999997"/>
    <x v="10"/>
  </r>
  <r>
    <x v="10"/>
    <d v="2014-06-30T00:00:00"/>
    <x v="7"/>
    <n v="33128.10338"/>
    <n v="60262.306409999997"/>
    <x v="10"/>
  </r>
  <r>
    <x v="10"/>
    <d v="2014-09-30T00:00:00"/>
    <x v="8"/>
    <n v="32078.794249999999"/>
    <n v="60262.306409999997"/>
    <x v="10"/>
  </r>
  <r>
    <x v="10"/>
    <d v="2014-12-31T00:00:00"/>
    <x v="9"/>
    <n v="32282.074619999999"/>
    <n v="60262.306409999997"/>
    <x v="10"/>
  </r>
  <r>
    <x v="11"/>
    <d v="2012-12-31T00:00:00"/>
    <x v="0"/>
    <n v="27478.65076"/>
    <n v="60512.846409999998"/>
    <x v="11"/>
  </r>
  <r>
    <x v="11"/>
    <d v="2013-03-31T00:00:00"/>
    <x v="1"/>
    <n v="41905.364130000002"/>
    <n v="60512.846409999998"/>
    <x v="11"/>
  </r>
  <r>
    <x v="11"/>
    <d v="2013-06-30T00:00:00"/>
    <x v="2"/>
    <n v="42866.651530000003"/>
    <n v="60512.846409999998"/>
    <x v="11"/>
  </r>
  <r>
    <x v="11"/>
    <d v="2013-09-30T00:00:00"/>
    <x v="3"/>
    <n v="42488.205560000002"/>
    <n v="60512.846409999998"/>
    <x v="11"/>
  </r>
  <r>
    <x v="11"/>
    <d v="2013-12-31T00:00:00"/>
    <x v="4"/>
    <n v="42368.367890000001"/>
    <n v="60512.846409999998"/>
    <x v="11"/>
  </r>
  <r>
    <x v="11"/>
    <d v="2014-03-31T00:00:00"/>
    <x v="5"/>
    <n v="41576.124909999999"/>
    <n v="60512.846409999998"/>
    <x v="11"/>
  </r>
  <r>
    <x v="11"/>
    <d v="2014-06-30T00:00:00"/>
    <x v="6"/>
    <n v="41451.423510000001"/>
    <n v="60512.846409999998"/>
    <x v="11"/>
  </r>
  <r>
    <x v="11"/>
    <d v="2014-09-30T00:00:00"/>
    <x v="7"/>
    <n v="40987.375820000001"/>
    <n v="60512.846409999998"/>
    <x v="11"/>
  </r>
  <r>
    <x v="11"/>
    <d v="2014-12-31T00:00:00"/>
    <x v="8"/>
    <n v="41403.853819999997"/>
    <n v="60512.846409999998"/>
    <x v="11"/>
  </r>
  <r>
    <x v="12"/>
    <d v="2013-03-31T00:00:00"/>
    <x v="0"/>
    <n v="26771.084200000001"/>
    <n v="62668.156410000003"/>
    <x v="12"/>
  </r>
  <r>
    <x v="12"/>
    <d v="2013-06-30T00:00:00"/>
    <x v="1"/>
    <n v="40483.564140000002"/>
    <n v="62668.156410000003"/>
    <x v="12"/>
  </r>
  <r>
    <x v="12"/>
    <d v="2013-09-30T00:00:00"/>
    <x v="2"/>
    <n v="39967.652439999998"/>
    <n v="62668.156410000003"/>
    <x v="12"/>
  </r>
  <r>
    <x v="12"/>
    <d v="2013-12-31T00:00:00"/>
    <x v="3"/>
    <n v="40057.572200000002"/>
    <n v="62668.156410000003"/>
    <x v="12"/>
  </r>
  <r>
    <x v="12"/>
    <d v="2014-03-31T00:00:00"/>
    <x v="4"/>
    <n v="40010.856630000002"/>
    <n v="62668.156410000003"/>
    <x v="12"/>
  </r>
  <r>
    <x v="12"/>
    <d v="2014-06-30T00:00:00"/>
    <x v="5"/>
    <n v="38822.587059999998"/>
    <n v="62668.156410000003"/>
    <x v="12"/>
  </r>
  <r>
    <x v="12"/>
    <d v="2014-09-30T00:00:00"/>
    <x v="6"/>
    <n v="38480.749589999999"/>
    <n v="62668.156410000003"/>
    <x v="12"/>
  </r>
  <r>
    <x v="12"/>
    <d v="2014-12-31T00:00:00"/>
    <x v="7"/>
    <n v="38506.088459999999"/>
    <n v="62668.156410000003"/>
    <x v="12"/>
  </r>
  <r>
    <x v="13"/>
    <d v="2013-06-30T00:00:00"/>
    <x v="0"/>
    <n v="20361.60787"/>
    <n v="63109.326410000001"/>
    <x v="13"/>
  </r>
  <r>
    <x v="13"/>
    <d v="2013-09-30T00:00:00"/>
    <x v="1"/>
    <n v="26804.964260000001"/>
    <n v="63109.326410000001"/>
    <x v="13"/>
  </r>
  <r>
    <x v="13"/>
    <d v="2013-12-31T00:00:00"/>
    <x v="2"/>
    <n v="26388.296460000001"/>
    <n v="63109.326410000001"/>
    <x v="13"/>
  </r>
  <r>
    <x v="13"/>
    <d v="2014-03-31T00:00:00"/>
    <x v="3"/>
    <n v="26454.277170000001"/>
    <n v="63109.326410000001"/>
    <x v="13"/>
  </r>
  <r>
    <x v="13"/>
    <d v="2014-06-30T00:00:00"/>
    <x v="4"/>
    <n v="26380.039980000001"/>
    <n v="63109.326410000001"/>
    <x v="13"/>
  </r>
  <r>
    <x v="13"/>
    <d v="2014-09-30T00:00:00"/>
    <x v="5"/>
    <n v="26321.22438"/>
    <n v="63109.326410000001"/>
    <x v="13"/>
  </r>
  <r>
    <x v="13"/>
    <d v="2014-12-31T00:00:00"/>
    <x v="6"/>
    <n v="26310.429260000001"/>
    <n v="63109.326410000001"/>
    <x v="13"/>
  </r>
  <r>
    <x v="14"/>
    <d v="2013-09-30T00:00:00"/>
    <x v="0"/>
    <n v="19766.45289"/>
    <n v="62933.526409999999"/>
    <x v="14"/>
  </r>
  <r>
    <x v="14"/>
    <d v="2013-12-31T00:00:00"/>
    <x v="1"/>
    <n v="29064.963589999999"/>
    <n v="62933.526409999999"/>
    <x v="14"/>
  </r>
  <r>
    <x v="14"/>
    <d v="2014-03-31T00:00:00"/>
    <x v="2"/>
    <n v="28266.90785"/>
    <n v="62933.526409999999"/>
    <x v="14"/>
  </r>
  <r>
    <x v="14"/>
    <d v="2014-06-30T00:00:00"/>
    <x v="3"/>
    <n v="27855.696919999998"/>
    <n v="62933.526409999999"/>
    <x v="14"/>
  </r>
  <r>
    <x v="14"/>
    <d v="2014-09-30T00:00:00"/>
    <x v="4"/>
    <n v="27475.281729999999"/>
    <n v="62933.526409999999"/>
    <x v="14"/>
  </r>
  <r>
    <x v="14"/>
    <d v="2014-12-31T00:00:00"/>
    <x v="5"/>
    <n v="27402.4918"/>
    <n v="62933.526409999999"/>
    <x v="14"/>
  </r>
  <r>
    <x v="15"/>
    <d v="2013-12-31T00:00:00"/>
    <x v="0"/>
    <n v="27034.746040000002"/>
    <n v="63694.446409999997"/>
    <x v="15"/>
  </r>
  <r>
    <x v="15"/>
    <d v="2014-03-31T00:00:00"/>
    <x v="1"/>
    <n v="43552.722750000001"/>
    <n v="63694.446409999997"/>
    <x v="15"/>
  </r>
  <r>
    <x v="15"/>
    <d v="2014-06-30T00:00:00"/>
    <x v="2"/>
    <n v="45623.392319999999"/>
    <n v="63694.446409999997"/>
    <x v="15"/>
  </r>
  <r>
    <x v="15"/>
    <d v="2014-09-30T00:00:00"/>
    <x v="3"/>
    <n v="45858.20392"/>
    <n v="63694.446409999997"/>
    <x v="15"/>
  </r>
  <r>
    <x v="15"/>
    <d v="2014-12-31T00:00:00"/>
    <x v="4"/>
    <n v="45471.026949999999"/>
    <n v="63694.446409999997"/>
    <x v="15"/>
  </r>
  <r>
    <x v="16"/>
    <d v="2014-03-31T00:00:00"/>
    <x v="0"/>
    <n v="19600.136910000001"/>
    <n v="64467.466410000001"/>
    <x v="16"/>
  </r>
  <r>
    <x v="16"/>
    <d v="2014-06-30T00:00:00"/>
    <x v="1"/>
    <n v="35431.710229999997"/>
    <n v="64467.466410000001"/>
    <x v="16"/>
  </r>
  <r>
    <x v="16"/>
    <d v="2014-09-30T00:00:00"/>
    <x v="2"/>
    <n v="37810.954080000003"/>
    <n v="64467.466410000001"/>
    <x v="16"/>
  </r>
  <r>
    <x v="16"/>
    <d v="2014-12-31T00:00:00"/>
    <x v="3"/>
    <n v="38378.895879999996"/>
    <n v="64467.466410000001"/>
    <x v="16"/>
  </r>
  <r>
    <x v="17"/>
    <d v="2014-06-30T00:00:00"/>
    <x v="0"/>
    <n v="22220.455890000001"/>
    <n v="66842.736409999998"/>
    <x v="17"/>
  </r>
  <r>
    <x v="17"/>
    <d v="2014-09-30T00:00:00"/>
    <x v="1"/>
    <n v="35361.364029999997"/>
    <n v="66842.736409999998"/>
    <x v="17"/>
  </r>
  <r>
    <x v="17"/>
    <d v="2014-12-31T00:00:00"/>
    <x v="2"/>
    <n v="38685.951719999997"/>
    <n v="66842.736409999998"/>
    <x v="17"/>
  </r>
  <r>
    <x v="18"/>
    <d v="2014-09-30T00:00:00"/>
    <x v="0"/>
    <n v="22583.361639999999"/>
    <n v="68593.776410000006"/>
    <x v="18"/>
  </r>
  <r>
    <x v="18"/>
    <d v="2014-12-31T00:00:00"/>
    <x v="1"/>
    <n v="34819.306790000002"/>
    <n v="68593.776410000006"/>
    <x v="18"/>
  </r>
  <r>
    <x v="19"/>
    <d v="2014-12-31T00:00:00"/>
    <x v="0"/>
    <n v="25472.84679"/>
    <n v="69620.506410000002"/>
    <x v="1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x v="0"/>
    <x v="0"/>
    <n v="2013.946441"/>
    <n v="25728.2402"/>
    <x v="0"/>
  </r>
  <r>
    <x v="0"/>
    <x v="1"/>
    <x v="1"/>
    <n v="3924.7983920000001"/>
    <n v="25728.2402"/>
    <x v="0"/>
  </r>
  <r>
    <x v="0"/>
    <x v="2"/>
    <x v="2"/>
    <n v="6027.3191349999997"/>
    <n v="25728.2402"/>
    <x v="0"/>
  </r>
  <r>
    <x v="0"/>
    <x v="3"/>
    <x v="3"/>
    <n v="6476.8752830000003"/>
    <n v="25728.2402"/>
    <x v="0"/>
  </r>
  <r>
    <x v="0"/>
    <x v="4"/>
    <x v="4"/>
    <n v="5624.0787790000004"/>
    <n v="25728.2402"/>
    <x v="0"/>
  </r>
  <r>
    <x v="0"/>
    <x v="5"/>
    <x v="5"/>
    <n v="5159.3165429999999"/>
    <n v="25728.2402"/>
    <x v="0"/>
  </r>
  <r>
    <x v="0"/>
    <x v="6"/>
    <x v="6"/>
    <n v="5213.8515289999996"/>
    <n v="25728.2402"/>
    <x v="0"/>
  </r>
  <r>
    <x v="0"/>
    <x v="7"/>
    <x v="7"/>
    <n v="6240.6926430000003"/>
    <n v="25728.2402"/>
    <x v="0"/>
  </r>
  <r>
    <x v="0"/>
    <x v="8"/>
    <x v="8"/>
    <n v="6705.3502500000004"/>
    <n v="25728.2402"/>
    <x v="0"/>
  </r>
  <r>
    <x v="0"/>
    <x v="9"/>
    <x v="9"/>
    <n v="6716.243297"/>
    <n v="25728.2402"/>
    <x v="0"/>
  </r>
  <r>
    <x v="0"/>
    <x v="10"/>
    <x v="10"/>
    <n v="7373.2672240000002"/>
    <n v="25728.2402"/>
    <x v="0"/>
  </r>
  <r>
    <x v="0"/>
    <x v="11"/>
    <x v="11"/>
    <n v="7695.7455790000004"/>
    <n v="25728.2402"/>
    <x v="0"/>
  </r>
  <r>
    <x v="0"/>
    <x v="12"/>
    <x v="12"/>
    <n v="9011.2466139999997"/>
    <n v="25728.2402"/>
    <x v="0"/>
  </r>
  <r>
    <x v="0"/>
    <x v="13"/>
    <x v="13"/>
    <n v="9229.5028110000003"/>
    <n v="25728.2402"/>
    <x v="0"/>
  </r>
  <r>
    <x v="0"/>
    <x v="14"/>
    <x v="14"/>
    <n v="8408.5135379999992"/>
    <n v="25728.2402"/>
    <x v="0"/>
  </r>
  <r>
    <x v="0"/>
    <x v="15"/>
    <x v="15"/>
    <n v="8448.1795739999998"/>
    <n v="25728.2402"/>
    <x v="0"/>
  </r>
  <r>
    <x v="0"/>
    <x v="16"/>
    <x v="16"/>
    <n v="8824.2163760000003"/>
    <n v="25728.2402"/>
    <x v="0"/>
  </r>
  <r>
    <x v="0"/>
    <x v="17"/>
    <x v="17"/>
    <n v="9202.4968910000007"/>
    <n v="25728.2402"/>
    <x v="0"/>
  </r>
  <r>
    <x v="0"/>
    <x v="18"/>
    <x v="18"/>
    <n v="9388.4575879999993"/>
    <n v="25728.2402"/>
    <x v="0"/>
  </r>
  <r>
    <x v="0"/>
    <x v="19"/>
    <x v="19"/>
    <n v="9349.6867120000006"/>
    <n v="25728.2402"/>
    <x v="0"/>
  </r>
  <r>
    <x v="1"/>
    <x v="1"/>
    <x v="0"/>
    <n v="2531.2208340000002"/>
    <n v="25975.350200000001"/>
    <x v="1"/>
  </r>
  <r>
    <x v="1"/>
    <x v="2"/>
    <x v="1"/>
    <n v="4102.4120149999999"/>
    <n v="25975.350200000001"/>
    <x v="1"/>
  </r>
  <r>
    <x v="1"/>
    <x v="3"/>
    <x v="2"/>
    <n v="3674.7000880000001"/>
    <n v="25975.350200000001"/>
    <x v="1"/>
  </r>
  <r>
    <x v="1"/>
    <x v="4"/>
    <x v="3"/>
    <n v="3868.1824499999998"/>
    <n v="25975.350200000001"/>
    <x v="1"/>
  </r>
  <r>
    <x v="1"/>
    <x v="5"/>
    <x v="4"/>
    <n v="4796.172364"/>
    <n v="25975.350200000001"/>
    <x v="1"/>
  </r>
  <r>
    <x v="1"/>
    <x v="6"/>
    <x v="5"/>
    <n v="6866.3511060000001"/>
    <n v="25975.350200000001"/>
    <x v="1"/>
  </r>
  <r>
    <x v="1"/>
    <x v="7"/>
    <x v="6"/>
    <n v="6072.0771169999998"/>
    <n v="25975.350200000001"/>
    <x v="1"/>
  </r>
  <r>
    <x v="1"/>
    <x v="8"/>
    <x v="7"/>
    <n v="6013.9847440000003"/>
    <n v="25975.350200000001"/>
    <x v="1"/>
  </r>
  <r>
    <x v="1"/>
    <x v="9"/>
    <x v="8"/>
    <n v="5986.4556789999997"/>
    <n v="25975.350200000001"/>
    <x v="1"/>
  </r>
  <r>
    <x v="1"/>
    <x v="10"/>
    <x v="9"/>
    <n v="5787.8813689999997"/>
    <n v="25975.350200000001"/>
    <x v="1"/>
  </r>
  <r>
    <x v="1"/>
    <x v="11"/>
    <x v="10"/>
    <n v="5951.2073149999997"/>
    <n v="25975.350200000001"/>
    <x v="1"/>
  </r>
  <r>
    <x v="1"/>
    <x v="12"/>
    <x v="11"/>
    <n v="5957.5664360000001"/>
    <n v="25975.350200000001"/>
    <x v="1"/>
  </r>
  <r>
    <x v="1"/>
    <x v="13"/>
    <x v="12"/>
    <n v="6047.884556"/>
    <n v="25975.350200000001"/>
    <x v="1"/>
  </r>
  <r>
    <x v="1"/>
    <x v="14"/>
    <x v="13"/>
    <n v="6064.7414580000004"/>
    <n v="25975.350200000001"/>
    <x v="1"/>
  </r>
  <r>
    <x v="1"/>
    <x v="15"/>
    <x v="14"/>
    <n v="5876.6184279999998"/>
    <n v="25975.350200000001"/>
    <x v="1"/>
  </r>
  <r>
    <x v="1"/>
    <x v="16"/>
    <x v="15"/>
    <n v="5969.3546420000002"/>
    <n v="25975.350200000001"/>
    <x v="1"/>
  </r>
  <r>
    <x v="1"/>
    <x v="17"/>
    <x v="16"/>
    <n v="5986.5370569999995"/>
    <n v="25975.350200000001"/>
    <x v="1"/>
  </r>
  <r>
    <x v="1"/>
    <x v="18"/>
    <x v="17"/>
    <n v="5997.3836019999999"/>
    <n v="25975.350200000001"/>
    <x v="1"/>
  </r>
  <r>
    <x v="1"/>
    <x v="19"/>
    <x v="18"/>
    <n v="5766.6765480000004"/>
    <n v="25975.350200000001"/>
    <x v="1"/>
  </r>
  <r>
    <x v="2"/>
    <x v="2"/>
    <x v="0"/>
    <n v="2373.0565879999999"/>
    <n v="24954.4902"/>
    <x v="2"/>
  </r>
  <r>
    <x v="2"/>
    <x v="3"/>
    <x v="1"/>
    <n v="4426.3900530000001"/>
    <n v="24954.4902"/>
    <x v="2"/>
  </r>
  <r>
    <x v="2"/>
    <x v="4"/>
    <x v="2"/>
    <n v="7274.1486379999997"/>
    <n v="24954.4902"/>
    <x v="2"/>
  </r>
  <r>
    <x v="2"/>
    <x v="5"/>
    <x v="3"/>
    <n v="6513.6233300000004"/>
    <n v="24954.4902"/>
    <x v="2"/>
  </r>
  <r>
    <x v="2"/>
    <x v="6"/>
    <x v="4"/>
    <n v="6699.1306350000004"/>
    <n v="24954.4902"/>
    <x v="2"/>
  </r>
  <r>
    <x v="2"/>
    <x v="7"/>
    <x v="5"/>
    <n v="7062.8677109999999"/>
    <n v="24954.4902"/>
    <x v="2"/>
  </r>
  <r>
    <x v="2"/>
    <x v="8"/>
    <x v="6"/>
    <n v="7602.8931110000003"/>
    <n v="24954.4902"/>
    <x v="2"/>
  </r>
  <r>
    <x v="2"/>
    <x v="9"/>
    <x v="7"/>
    <n v="7727.2970500000001"/>
    <n v="24954.4902"/>
    <x v="2"/>
  </r>
  <r>
    <x v="2"/>
    <x v="10"/>
    <x v="8"/>
    <n v="7130.4929529999999"/>
    <n v="24954.4902"/>
    <x v="2"/>
  </r>
  <r>
    <x v="2"/>
    <x v="11"/>
    <x v="9"/>
    <n v="7655.4982710000004"/>
    <n v="24954.4902"/>
    <x v="2"/>
  </r>
  <r>
    <x v="2"/>
    <x v="12"/>
    <x v="10"/>
    <n v="7948.7967470000003"/>
    <n v="24954.4902"/>
    <x v="2"/>
  </r>
  <r>
    <x v="2"/>
    <x v="13"/>
    <x v="11"/>
    <n v="8586.5689289999991"/>
    <n v="24954.4902"/>
    <x v="2"/>
  </r>
  <r>
    <x v="2"/>
    <x v="14"/>
    <x v="12"/>
    <n v="9113.0506789999999"/>
    <n v="24954.4902"/>
    <x v="2"/>
  </r>
  <r>
    <x v="2"/>
    <x v="15"/>
    <x v="13"/>
    <n v="7730.2964160000001"/>
    <n v="24954.4902"/>
    <x v="2"/>
  </r>
  <r>
    <x v="2"/>
    <x v="16"/>
    <x v="14"/>
    <n v="7925.092455"/>
    <n v="24954.4902"/>
    <x v="2"/>
  </r>
  <r>
    <x v="2"/>
    <x v="17"/>
    <x v="15"/>
    <n v="8275.5765190000002"/>
    <n v="24954.4902"/>
    <x v="2"/>
  </r>
  <r>
    <x v="2"/>
    <x v="18"/>
    <x v="16"/>
    <n v="8179.6316809999998"/>
    <n v="24954.4902"/>
    <x v="2"/>
  </r>
  <r>
    <x v="2"/>
    <x v="19"/>
    <x v="17"/>
    <n v="7820.8819219999996"/>
    <n v="24954.4902"/>
    <x v="2"/>
  </r>
  <r>
    <x v="3"/>
    <x v="3"/>
    <x v="0"/>
    <n v="3664.5859460000001"/>
    <n v="24478.190200000001"/>
    <x v="3"/>
  </r>
  <r>
    <x v="3"/>
    <x v="4"/>
    <x v="1"/>
    <n v="6028.3305490000002"/>
    <n v="24478.190200000001"/>
    <x v="3"/>
  </r>
  <r>
    <x v="3"/>
    <x v="5"/>
    <x v="2"/>
    <n v="5679.3345429999999"/>
    <n v="24478.190200000001"/>
    <x v="3"/>
  </r>
  <r>
    <x v="3"/>
    <x v="6"/>
    <x v="3"/>
    <n v="5792.7756829999998"/>
    <n v="24478.190200000001"/>
    <x v="3"/>
  </r>
  <r>
    <x v="3"/>
    <x v="7"/>
    <x v="4"/>
    <n v="5157.6657290000003"/>
    <n v="24478.190200000001"/>
    <x v="3"/>
  </r>
  <r>
    <x v="3"/>
    <x v="8"/>
    <x v="5"/>
    <n v="5202.5864680000004"/>
    <n v="24478.190200000001"/>
    <x v="3"/>
  </r>
  <r>
    <x v="3"/>
    <x v="9"/>
    <x v="6"/>
    <n v="4824.1083200000003"/>
    <n v="24478.190200000001"/>
    <x v="3"/>
  </r>
  <r>
    <x v="3"/>
    <x v="10"/>
    <x v="7"/>
    <n v="4749.066041"/>
    <n v="24478.190200000001"/>
    <x v="3"/>
  </r>
  <r>
    <x v="3"/>
    <x v="11"/>
    <x v="8"/>
    <n v="5152.469153"/>
    <n v="24478.190200000001"/>
    <x v="3"/>
  </r>
  <r>
    <x v="3"/>
    <x v="12"/>
    <x v="9"/>
    <n v="5240.3924310000002"/>
    <n v="24478.190200000001"/>
    <x v="3"/>
  </r>
  <r>
    <x v="3"/>
    <x v="13"/>
    <x v="10"/>
    <n v="5260.8299720000005"/>
    <n v="24478.190200000001"/>
    <x v="3"/>
  </r>
  <r>
    <x v="3"/>
    <x v="14"/>
    <x v="11"/>
    <n v="5360.6228339999998"/>
    <n v="24478.190200000001"/>
    <x v="3"/>
  </r>
  <r>
    <x v="3"/>
    <x v="15"/>
    <x v="12"/>
    <n v="5261.9111380000004"/>
    <n v="24478.190200000001"/>
    <x v="3"/>
  </r>
  <r>
    <x v="3"/>
    <x v="16"/>
    <x v="13"/>
    <n v="5605.5826889999998"/>
    <n v="24478.190200000001"/>
    <x v="3"/>
  </r>
  <r>
    <x v="3"/>
    <x v="17"/>
    <x v="14"/>
    <n v="5472.9246800000001"/>
    <n v="24478.190200000001"/>
    <x v="3"/>
  </r>
  <r>
    <x v="3"/>
    <x v="18"/>
    <x v="15"/>
    <n v="5358.541878"/>
    <n v="24478.190200000001"/>
    <x v="3"/>
  </r>
  <r>
    <x v="3"/>
    <x v="19"/>
    <x v="16"/>
    <n v="6050.6862890000002"/>
    <n v="24478.190200000001"/>
    <x v="3"/>
  </r>
  <r>
    <x v="4"/>
    <x v="4"/>
    <x v="0"/>
    <n v="3685.2443709999998"/>
    <n v="23899.440200000001"/>
    <x v="4"/>
  </r>
  <r>
    <x v="4"/>
    <x v="5"/>
    <x v="1"/>
    <n v="6009.2299350000003"/>
    <n v="23899.440200000001"/>
    <x v="4"/>
  </r>
  <r>
    <x v="4"/>
    <x v="6"/>
    <x v="2"/>
    <n v="6655.2096849999998"/>
    <n v="23899.440200000001"/>
    <x v="4"/>
  </r>
  <r>
    <x v="4"/>
    <x v="7"/>
    <x v="3"/>
    <n v="5535.0627100000002"/>
    <n v="23899.440200000001"/>
    <x v="4"/>
  </r>
  <r>
    <x v="4"/>
    <x v="8"/>
    <x v="4"/>
    <n v="6291.728368"/>
    <n v="23899.440200000001"/>
    <x v="4"/>
  </r>
  <r>
    <x v="4"/>
    <x v="9"/>
    <x v="5"/>
    <n v="6971.8869400000003"/>
    <n v="23899.440200000001"/>
    <x v="4"/>
  </r>
  <r>
    <x v="4"/>
    <x v="10"/>
    <x v="6"/>
    <n v="6792.6806299999998"/>
    <n v="23899.440200000001"/>
    <x v="4"/>
  </r>
  <r>
    <x v="4"/>
    <x v="11"/>
    <x v="7"/>
    <n v="6362.0158380000003"/>
    <n v="23899.440200000001"/>
    <x v="4"/>
  </r>
  <r>
    <x v="4"/>
    <x v="12"/>
    <x v="8"/>
    <n v="6510.1240699999998"/>
    <n v="23899.440200000001"/>
    <x v="4"/>
  </r>
  <r>
    <x v="4"/>
    <x v="13"/>
    <x v="9"/>
    <n v="6456.6586260000004"/>
    <n v="23899.440200000001"/>
    <x v="4"/>
  </r>
  <r>
    <x v="4"/>
    <x v="14"/>
    <x v="10"/>
    <n v="6734.0302350000002"/>
    <n v="23899.440200000001"/>
    <x v="4"/>
  </r>
  <r>
    <x v="4"/>
    <x v="15"/>
    <x v="11"/>
    <n v="6836.1481869999998"/>
    <n v="23899.440200000001"/>
    <x v="4"/>
  </r>
  <r>
    <x v="4"/>
    <x v="16"/>
    <x v="12"/>
    <n v="7816.8827670000001"/>
    <n v="23899.440200000001"/>
    <x v="4"/>
  </r>
  <r>
    <x v="4"/>
    <x v="17"/>
    <x v="13"/>
    <n v="8117.4936509999998"/>
    <n v="23899.440200000001"/>
    <x v="4"/>
  </r>
  <r>
    <x v="4"/>
    <x v="18"/>
    <x v="14"/>
    <n v="8601.7168899999997"/>
    <n v="23899.440200000001"/>
    <x v="4"/>
  </r>
  <r>
    <x v="4"/>
    <x v="19"/>
    <x v="15"/>
    <n v="8508.0506409999998"/>
    <n v="23899.440200000001"/>
    <x v="4"/>
  </r>
  <r>
    <x v="5"/>
    <x v="5"/>
    <x v="0"/>
    <n v="5623.5091320000001"/>
    <n v="21730.250199999999"/>
    <x v="5"/>
  </r>
  <r>
    <x v="5"/>
    <x v="6"/>
    <x v="1"/>
    <n v="9330.1908330000006"/>
    <n v="21730.250199999999"/>
    <x v="5"/>
  </r>
  <r>
    <x v="5"/>
    <x v="7"/>
    <x v="2"/>
    <n v="8640.3133839999991"/>
    <n v="21730.250199999999"/>
    <x v="5"/>
  </r>
  <r>
    <x v="5"/>
    <x v="8"/>
    <x v="3"/>
    <n v="7675.8079319999997"/>
    <n v="21730.250199999999"/>
    <x v="5"/>
  </r>
  <r>
    <x v="5"/>
    <x v="9"/>
    <x v="4"/>
    <n v="7066.0647099999996"/>
    <n v="21730.250199999999"/>
    <x v="5"/>
  </r>
  <r>
    <x v="5"/>
    <x v="10"/>
    <x v="5"/>
    <n v="6535.0257840000004"/>
    <n v="21730.250199999999"/>
    <x v="5"/>
  </r>
  <r>
    <x v="5"/>
    <x v="11"/>
    <x v="6"/>
    <n v="7004.2986950000004"/>
    <n v="21730.250199999999"/>
    <x v="5"/>
  </r>
  <r>
    <x v="5"/>
    <x v="12"/>
    <x v="7"/>
    <n v="6964.6442850000003"/>
    <n v="21730.250199999999"/>
    <x v="5"/>
  </r>
  <r>
    <x v="5"/>
    <x v="13"/>
    <x v="8"/>
    <n v="7006.5772829999996"/>
    <n v="21730.250199999999"/>
    <x v="5"/>
  </r>
  <r>
    <x v="5"/>
    <x v="14"/>
    <x v="9"/>
    <n v="7243.7480859999996"/>
    <n v="21730.250199999999"/>
    <x v="5"/>
  </r>
  <r>
    <x v="5"/>
    <x v="15"/>
    <x v="10"/>
    <n v="7123.773443"/>
    <n v="21730.250199999999"/>
    <x v="5"/>
  </r>
  <r>
    <x v="5"/>
    <x v="16"/>
    <x v="11"/>
    <n v="7118.9605069999998"/>
    <n v="21730.250199999999"/>
    <x v="5"/>
  </r>
  <r>
    <x v="5"/>
    <x v="17"/>
    <x v="12"/>
    <n v="7294.0746589999999"/>
    <n v="21730.250199999999"/>
    <x v="5"/>
  </r>
  <r>
    <x v="5"/>
    <x v="18"/>
    <x v="13"/>
    <n v="7250.9791160000004"/>
    <n v="21730.250199999999"/>
    <x v="5"/>
  </r>
  <r>
    <x v="5"/>
    <x v="19"/>
    <x v="14"/>
    <n v="6981.2221769999996"/>
    <n v="21730.250199999999"/>
    <x v="5"/>
  </r>
  <r>
    <x v="6"/>
    <x v="6"/>
    <x v="0"/>
    <n v="6359.5279920000003"/>
    <n v="15231.760200000001"/>
    <x v="6"/>
  </r>
  <r>
    <x v="6"/>
    <x v="7"/>
    <x v="1"/>
    <n v="8484.6951119999994"/>
    <n v="15231.760200000001"/>
    <x v="6"/>
  </r>
  <r>
    <x v="6"/>
    <x v="8"/>
    <x v="2"/>
    <n v="9147.1946260000004"/>
    <n v="15231.760200000001"/>
    <x v="6"/>
  </r>
  <r>
    <x v="6"/>
    <x v="9"/>
    <x v="3"/>
    <n v="6628.1572630000001"/>
    <n v="15231.760200000001"/>
    <x v="6"/>
  </r>
  <r>
    <x v="6"/>
    <x v="10"/>
    <x v="4"/>
    <n v="6883.1382560000002"/>
    <n v="15231.760200000001"/>
    <x v="6"/>
  </r>
  <r>
    <x v="6"/>
    <x v="11"/>
    <x v="5"/>
    <n v="6989.9063880000003"/>
    <n v="15231.760200000001"/>
    <x v="6"/>
  </r>
  <r>
    <x v="6"/>
    <x v="12"/>
    <x v="6"/>
    <n v="7416.5836499999996"/>
    <n v="15231.760200000001"/>
    <x v="6"/>
  </r>
  <r>
    <x v="6"/>
    <x v="13"/>
    <x v="7"/>
    <n v="7768.2186339999998"/>
    <n v="15231.760200000001"/>
    <x v="6"/>
  </r>
  <r>
    <x v="6"/>
    <x v="14"/>
    <x v="8"/>
    <n v="8116.9356289999996"/>
    <n v="15231.760200000001"/>
    <x v="6"/>
  </r>
  <r>
    <x v="6"/>
    <x v="15"/>
    <x v="9"/>
    <n v="7775.4961649999996"/>
    <n v="15231.760200000001"/>
    <x v="6"/>
  </r>
  <r>
    <x v="6"/>
    <x v="16"/>
    <x v="10"/>
    <n v="7907.968167"/>
    <n v="15231.760200000001"/>
    <x v="6"/>
  </r>
  <r>
    <x v="6"/>
    <x v="17"/>
    <x v="11"/>
    <n v="7946.1926460000004"/>
    <n v="15231.760200000001"/>
    <x v="6"/>
  </r>
  <r>
    <x v="6"/>
    <x v="18"/>
    <x v="12"/>
    <n v="7905.0850559999999"/>
    <n v="15231.760200000001"/>
    <x v="6"/>
  </r>
  <r>
    <x v="6"/>
    <x v="19"/>
    <x v="13"/>
    <n v="7503.6233940000002"/>
    <n v="15231.760200000001"/>
    <x v="6"/>
  </r>
  <r>
    <x v="7"/>
    <x v="7"/>
    <x v="0"/>
    <n v="3654.8670699999998"/>
    <n v="11990.020200000001"/>
    <x v="7"/>
  </r>
  <r>
    <x v="7"/>
    <x v="8"/>
    <x v="1"/>
    <n v="4337.5018630000004"/>
    <n v="11990.020200000001"/>
    <x v="7"/>
  </r>
  <r>
    <x v="7"/>
    <x v="9"/>
    <x v="2"/>
    <n v="3999.7592930000001"/>
    <n v="11990.020200000001"/>
    <x v="7"/>
  </r>
  <r>
    <x v="7"/>
    <x v="10"/>
    <x v="3"/>
    <n v="4567.8485280000004"/>
    <n v="11990.020200000001"/>
    <x v="7"/>
  </r>
  <r>
    <x v="7"/>
    <x v="11"/>
    <x v="4"/>
    <n v="6659.1623380000001"/>
    <n v="11990.020200000001"/>
    <x v="7"/>
  </r>
  <r>
    <x v="7"/>
    <x v="12"/>
    <x v="5"/>
    <n v="6570.5066569999999"/>
    <n v="11990.020200000001"/>
    <x v="7"/>
  </r>
  <r>
    <x v="7"/>
    <x v="13"/>
    <x v="6"/>
    <n v="6598.8960049999996"/>
    <n v="11990.020200000001"/>
    <x v="7"/>
  </r>
  <r>
    <x v="7"/>
    <x v="14"/>
    <x v="7"/>
    <n v="6949.1940619999996"/>
    <n v="11990.020200000001"/>
    <x v="7"/>
  </r>
  <r>
    <x v="7"/>
    <x v="15"/>
    <x v="8"/>
    <n v="7302.9913790000001"/>
    <n v="11990.020200000001"/>
    <x v="7"/>
  </r>
  <r>
    <x v="7"/>
    <x v="16"/>
    <x v="9"/>
    <n v="7384.1137689999996"/>
    <n v="11990.020200000001"/>
    <x v="7"/>
  </r>
  <r>
    <x v="7"/>
    <x v="17"/>
    <x v="10"/>
    <n v="8192.2917959999995"/>
    <n v="11990.020200000001"/>
    <x v="7"/>
  </r>
  <r>
    <x v="7"/>
    <x v="18"/>
    <x v="11"/>
    <n v="8634.6169140000002"/>
    <n v="11990.020200000001"/>
    <x v="7"/>
  </r>
  <r>
    <x v="7"/>
    <x v="19"/>
    <x v="12"/>
    <n v="8644.1149060000007"/>
    <n v="11990.020200000001"/>
    <x v="7"/>
  </r>
  <r>
    <x v="8"/>
    <x v="8"/>
    <x v="0"/>
    <n v="1202.8039240000001"/>
    <n v="11731.1402"/>
    <x v="8"/>
  </r>
  <r>
    <x v="8"/>
    <x v="9"/>
    <x v="1"/>
    <n v="2897.1202450000001"/>
    <n v="11731.1402"/>
    <x v="8"/>
  </r>
  <r>
    <x v="8"/>
    <x v="10"/>
    <x v="2"/>
    <n v="3288.5607690000002"/>
    <n v="11731.1402"/>
    <x v="8"/>
  </r>
  <r>
    <x v="8"/>
    <x v="11"/>
    <x v="3"/>
    <n v="2418.3609670000001"/>
    <n v="11731.1402"/>
    <x v="8"/>
  </r>
  <r>
    <x v="8"/>
    <x v="12"/>
    <x v="4"/>
    <n v="2197.3262880000002"/>
    <n v="11731.1402"/>
    <x v="8"/>
  </r>
  <r>
    <x v="8"/>
    <x v="13"/>
    <x v="5"/>
    <n v="3144.428441"/>
    <n v="11731.1402"/>
    <x v="8"/>
  </r>
  <r>
    <x v="8"/>
    <x v="14"/>
    <x v="6"/>
    <n v="3153.2289059999998"/>
    <n v="11731.1402"/>
    <x v="8"/>
  </r>
  <r>
    <x v="8"/>
    <x v="15"/>
    <x v="7"/>
    <n v="3073.0714290000001"/>
    <n v="11731.1402"/>
    <x v="8"/>
  </r>
  <r>
    <x v="8"/>
    <x v="16"/>
    <x v="8"/>
    <n v="3108.656931"/>
    <n v="11731.1402"/>
    <x v="8"/>
  </r>
  <r>
    <x v="8"/>
    <x v="17"/>
    <x v="9"/>
    <n v="2366.9183509999998"/>
    <n v="11731.1402"/>
    <x v="8"/>
  </r>
  <r>
    <x v="8"/>
    <x v="18"/>
    <x v="10"/>
    <n v="1991.5093220000001"/>
    <n v="11731.1402"/>
    <x v="8"/>
  </r>
  <r>
    <x v="8"/>
    <x v="19"/>
    <x v="11"/>
    <n v="2082.8039800000001"/>
    <n v="11731.1402"/>
    <x v="8"/>
  </r>
  <r>
    <x v="9"/>
    <x v="9"/>
    <x v="0"/>
    <n v="1110.2537170000001"/>
    <n v="11502.870199999999"/>
    <x v="9"/>
  </r>
  <r>
    <x v="9"/>
    <x v="10"/>
    <x v="1"/>
    <n v="2110.9608199999998"/>
    <n v="11502.870199999999"/>
    <x v="9"/>
  </r>
  <r>
    <x v="9"/>
    <x v="11"/>
    <x v="2"/>
    <n v="3328.017546"/>
    <n v="11502.870199999999"/>
    <x v="9"/>
  </r>
  <r>
    <x v="9"/>
    <x v="12"/>
    <x v="3"/>
    <n v="5474.0174720000005"/>
    <n v="11502.870199999999"/>
    <x v="9"/>
  </r>
  <r>
    <x v="9"/>
    <x v="13"/>
    <x v="4"/>
    <n v="5593.3759659999996"/>
    <n v="11502.870199999999"/>
    <x v="9"/>
  </r>
  <r>
    <x v="9"/>
    <x v="14"/>
    <x v="5"/>
    <n v="5660.3850599999996"/>
    <n v="11502.870199999999"/>
    <x v="9"/>
  </r>
  <r>
    <x v="9"/>
    <x v="15"/>
    <x v="6"/>
    <n v="4710.0161550000003"/>
    <n v="11502.870199999999"/>
    <x v="9"/>
  </r>
  <r>
    <x v="9"/>
    <x v="16"/>
    <x v="7"/>
    <n v="4873.516482"/>
    <n v="11502.870199999999"/>
    <x v="9"/>
  </r>
  <r>
    <x v="9"/>
    <x v="17"/>
    <x v="8"/>
    <n v="4568.5693060000003"/>
    <n v="11502.870199999999"/>
    <x v="9"/>
  </r>
  <r>
    <x v="9"/>
    <x v="18"/>
    <x v="9"/>
    <n v="4547.1319759999997"/>
    <n v="11502.870199999999"/>
    <x v="9"/>
  </r>
  <r>
    <x v="9"/>
    <x v="19"/>
    <x v="10"/>
    <n v="4600.6671729999998"/>
    <n v="11502.870199999999"/>
    <x v="9"/>
  </r>
  <r>
    <x v="10"/>
    <x v="10"/>
    <x v="0"/>
    <n v="775.70814529999996"/>
    <n v="13316.540199999999"/>
    <x v="10"/>
  </r>
  <r>
    <x v="10"/>
    <x v="11"/>
    <x v="1"/>
    <n v="3290.3510879999999"/>
    <n v="13316.540199999999"/>
    <x v="10"/>
  </r>
  <r>
    <x v="10"/>
    <x v="12"/>
    <x v="2"/>
    <n v="6314.5491259999999"/>
    <n v="13316.540199999999"/>
    <x v="10"/>
  </r>
  <r>
    <x v="10"/>
    <x v="13"/>
    <x v="3"/>
    <n v="7099.3832490000004"/>
    <n v="13316.540199999999"/>
    <x v="10"/>
  </r>
  <r>
    <x v="10"/>
    <x v="14"/>
    <x v="4"/>
    <n v="7206.3838900000001"/>
    <n v="13316.540199999999"/>
    <x v="10"/>
  </r>
  <r>
    <x v="10"/>
    <x v="15"/>
    <x v="5"/>
    <n v="6951.1238869999997"/>
    <n v="13316.540199999999"/>
    <x v="10"/>
  </r>
  <r>
    <x v="10"/>
    <x v="16"/>
    <x v="6"/>
    <n v="6910.5626920000004"/>
    <n v="13316.540199999999"/>
    <x v="10"/>
  </r>
  <r>
    <x v="10"/>
    <x v="17"/>
    <x v="7"/>
    <n v="6848.320033"/>
    <n v="13316.540199999999"/>
    <x v="10"/>
  </r>
  <r>
    <x v="10"/>
    <x v="18"/>
    <x v="8"/>
    <n v="6906.1682719999999"/>
    <n v="13316.540199999999"/>
    <x v="10"/>
  </r>
  <r>
    <x v="10"/>
    <x v="19"/>
    <x v="9"/>
    <n v="6825.708533"/>
    <n v="13316.540199999999"/>
    <x v="10"/>
  </r>
  <r>
    <x v="11"/>
    <x v="11"/>
    <x v="0"/>
    <n v="1857.653892"/>
    <n v="14269.7402"/>
    <x v="11"/>
  </r>
  <r>
    <x v="11"/>
    <x v="12"/>
    <x v="1"/>
    <n v="3064.3523420000001"/>
    <n v="14269.7402"/>
    <x v="11"/>
  </r>
  <r>
    <x v="11"/>
    <x v="13"/>
    <x v="2"/>
    <n v="3964.8945680000002"/>
    <n v="14269.7402"/>
    <x v="11"/>
  </r>
  <r>
    <x v="11"/>
    <x v="14"/>
    <x v="3"/>
    <n v="3906.1744210000002"/>
    <n v="14269.7402"/>
    <x v="11"/>
  </r>
  <r>
    <x v="11"/>
    <x v="15"/>
    <x v="4"/>
    <n v="4058.235306"/>
    <n v="14269.7402"/>
    <x v="11"/>
  </r>
  <r>
    <x v="11"/>
    <x v="16"/>
    <x v="5"/>
    <n v="4269.9347479999997"/>
    <n v="14269.7402"/>
    <x v="11"/>
  </r>
  <r>
    <x v="11"/>
    <x v="17"/>
    <x v="6"/>
    <n v="4018.8134049999999"/>
    <n v="14269.7402"/>
    <x v="11"/>
  </r>
  <r>
    <x v="11"/>
    <x v="18"/>
    <x v="7"/>
    <n v="3867.2756650000001"/>
    <n v="14269.7402"/>
    <x v="11"/>
  </r>
  <r>
    <x v="11"/>
    <x v="19"/>
    <x v="8"/>
    <n v="5107.3856580000001"/>
    <n v="14269.7402"/>
    <x v="11"/>
  </r>
  <r>
    <x v="12"/>
    <x v="12"/>
    <x v="0"/>
    <n v="1607.706719"/>
    <n v="15193.120199999999"/>
    <x v="12"/>
  </r>
  <r>
    <x v="12"/>
    <x v="13"/>
    <x v="1"/>
    <n v="4000.340565"/>
    <n v="15193.120199999999"/>
    <x v="12"/>
  </r>
  <r>
    <x v="12"/>
    <x v="14"/>
    <x v="2"/>
    <n v="4989.0850799999998"/>
    <n v="15193.120199999999"/>
    <x v="12"/>
  </r>
  <r>
    <x v="12"/>
    <x v="15"/>
    <x v="3"/>
    <n v="4800.1831439999996"/>
    <n v="15193.120199999999"/>
    <x v="12"/>
  </r>
  <r>
    <x v="12"/>
    <x v="16"/>
    <x v="4"/>
    <n v="4794.5331759999999"/>
    <n v="15193.120199999999"/>
    <x v="12"/>
  </r>
  <r>
    <x v="12"/>
    <x v="17"/>
    <x v="5"/>
    <n v="5481.6437669999996"/>
    <n v="15193.120199999999"/>
    <x v="12"/>
  </r>
  <r>
    <x v="12"/>
    <x v="18"/>
    <x v="6"/>
    <n v="4777.9785350000002"/>
    <n v="15193.120199999999"/>
    <x v="12"/>
  </r>
  <r>
    <x v="12"/>
    <x v="19"/>
    <x v="7"/>
    <n v="4847.1499620000004"/>
    <n v="15193.120199999999"/>
    <x v="12"/>
  </r>
  <r>
    <x v="13"/>
    <x v="13"/>
    <x v="0"/>
    <n v="3120.317258"/>
    <n v="15076.780199999999"/>
    <x v="13"/>
  </r>
  <r>
    <x v="13"/>
    <x v="14"/>
    <x v="1"/>
    <n v="3906.2209229999999"/>
    <n v="15076.780199999999"/>
    <x v="13"/>
  </r>
  <r>
    <x v="13"/>
    <x v="15"/>
    <x v="2"/>
    <n v="7001.9387280000001"/>
    <n v="15076.780199999999"/>
    <x v="13"/>
  </r>
  <r>
    <x v="13"/>
    <x v="16"/>
    <x v="3"/>
    <n v="9182.1756050000004"/>
    <n v="15076.780199999999"/>
    <x v="13"/>
  </r>
  <r>
    <x v="13"/>
    <x v="17"/>
    <x v="4"/>
    <n v="9679.8029879999995"/>
    <n v="15076.780199999999"/>
    <x v="13"/>
  </r>
  <r>
    <x v="13"/>
    <x v="18"/>
    <x v="5"/>
    <n v="7915.8269710000004"/>
    <n v="15076.780199999999"/>
    <x v="13"/>
  </r>
  <r>
    <x v="13"/>
    <x v="19"/>
    <x v="6"/>
    <n v="10125.441360000001"/>
    <n v="15076.780199999999"/>
    <x v="13"/>
  </r>
  <r>
    <x v="14"/>
    <x v="14"/>
    <x v="0"/>
    <n v="1186.749178"/>
    <n v="18804.480200000002"/>
    <x v="14"/>
  </r>
  <r>
    <x v="14"/>
    <x v="15"/>
    <x v="1"/>
    <n v="1948.7160409999999"/>
    <n v="18804.480200000002"/>
    <x v="14"/>
  </r>
  <r>
    <x v="14"/>
    <x v="16"/>
    <x v="2"/>
    <n v="3061.9691250000001"/>
    <n v="18804.480200000002"/>
    <x v="14"/>
  </r>
  <r>
    <x v="14"/>
    <x v="17"/>
    <x v="3"/>
    <n v="4515.3247449999999"/>
    <n v="18804.480200000002"/>
    <x v="14"/>
  </r>
  <r>
    <x v="14"/>
    <x v="18"/>
    <x v="4"/>
    <n v="4628.4054960000003"/>
    <n v="18804.480200000002"/>
    <x v="14"/>
  </r>
  <r>
    <x v="14"/>
    <x v="19"/>
    <x v="5"/>
    <n v="4755.1345259999998"/>
    <n v="18804.480200000002"/>
    <x v="14"/>
  </r>
  <r>
    <x v="15"/>
    <x v="15"/>
    <x v="0"/>
    <n v="508.12516470000003"/>
    <n v="17929.950199999999"/>
    <x v="15"/>
  </r>
  <r>
    <x v="15"/>
    <x v="16"/>
    <x v="1"/>
    <n v="1844.156745"/>
    <n v="17929.950199999999"/>
    <x v="15"/>
  </r>
  <r>
    <x v="15"/>
    <x v="17"/>
    <x v="2"/>
    <n v="4444.6536349999997"/>
    <n v="17929.950199999999"/>
    <x v="15"/>
  </r>
  <r>
    <x v="15"/>
    <x v="18"/>
    <x v="3"/>
    <n v="6455.914597"/>
    <n v="17929.950199999999"/>
    <x v="15"/>
  </r>
  <r>
    <x v="15"/>
    <x v="19"/>
    <x v="4"/>
    <n v="7419.1993769999999"/>
    <n v="17929.950199999999"/>
    <x v="15"/>
  </r>
  <r>
    <x v="16"/>
    <x v="16"/>
    <x v="0"/>
    <n v="631.91295530000002"/>
    <n v="18824.710200000001"/>
    <x v="16"/>
  </r>
  <r>
    <x v="16"/>
    <x v="17"/>
    <x v="1"/>
    <n v="1950.552862"/>
    <n v="18824.710200000001"/>
    <x v="16"/>
  </r>
  <r>
    <x v="16"/>
    <x v="18"/>
    <x v="2"/>
    <n v="2235.3182579999998"/>
    <n v="18824.710200000001"/>
    <x v="16"/>
  </r>
  <r>
    <x v="16"/>
    <x v="19"/>
    <x v="3"/>
    <n v="4024.5331259999998"/>
    <n v="18824.710200000001"/>
    <x v="16"/>
  </r>
  <r>
    <x v="17"/>
    <x v="17"/>
    <x v="0"/>
    <n v="575.90153769999995"/>
    <n v="20181.340199999999"/>
    <x v="17"/>
  </r>
  <r>
    <x v="17"/>
    <x v="18"/>
    <x v="1"/>
    <n v="3531.0095270000002"/>
    <n v="20181.340199999999"/>
    <x v="17"/>
  </r>
  <r>
    <x v="17"/>
    <x v="19"/>
    <x v="2"/>
    <n v="8147.7663220000004"/>
    <n v="20181.340199999999"/>
    <x v="17"/>
  </r>
  <r>
    <x v="18"/>
    <x v="18"/>
    <x v="0"/>
    <n v="1548.602932"/>
    <n v="20891.360199999999"/>
    <x v="18"/>
  </r>
  <r>
    <x v="18"/>
    <x v="19"/>
    <x v="1"/>
    <n v="4806.7515240000002"/>
    <n v="20891.360199999999"/>
    <x v="18"/>
  </r>
  <r>
    <x v="19"/>
    <x v="19"/>
    <x v="0"/>
    <n v="1877.010266"/>
    <n v="23653.9902"/>
    <x v="1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0">
  <r>
    <d v="2010-03-31T00:00:00"/>
    <d v="2015-03-31T00:00:00"/>
    <x v="0"/>
    <n v="24096.955709999998"/>
    <n v="0"/>
    <x v="0"/>
  </r>
  <r>
    <d v="2010-06-30T00:00:00"/>
    <d v="2015-03-31T00:00:00"/>
    <x v="1"/>
    <n v="22592.40107"/>
    <n v="0"/>
    <x v="1"/>
  </r>
  <r>
    <d v="2010-06-30T00:00:00"/>
    <d v="2015-06-30T00:00:00"/>
    <x v="0"/>
    <n v="22589.886159999998"/>
    <n v="0"/>
    <x v="1"/>
  </r>
  <r>
    <d v="2010-09-30T00:00:00"/>
    <d v="2015-03-31T00:00:00"/>
    <x v="2"/>
    <n v="17754.29048"/>
    <n v="0"/>
    <x v="2"/>
  </r>
  <r>
    <d v="2010-09-30T00:00:00"/>
    <d v="2015-06-30T00:00:00"/>
    <x v="1"/>
    <n v="17754.29048"/>
    <n v="0"/>
    <x v="2"/>
  </r>
  <r>
    <d v="2010-09-30T00:00:00"/>
    <d v="2015-09-30T00:00:00"/>
    <x v="0"/>
    <n v="17754.29048"/>
    <n v="0"/>
    <x v="2"/>
  </r>
  <r>
    <d v="2010-12-31T00:00:00"/>
    <d v="2015-03-31T00:00:00"/>
    <x v="3"/>
    <n v="23829.94857"/>
    <n v="0"/>
    <x v="3"/>
  </r>
  <r>
    <d v="2010-12-31T00:00:00"/>
    <d v="2015-06-30T00:00:00"/>
    <x v="2"/>
    <n v="23829.94857"/>
    <n v="0"/>
    <x v="3"/>
  </r>
  <r>
    <d v="2010-12-31T00:00:00"/>
    <d v="2015-09-30T00:00:00"/>
    <x v="1"/>
    <n v="23828.50131"/>
    <n v="0"/>
    <x v="3"/>
  </r>
  <r>
    <d v="2010-12-31T00:00:00"/>
    <d v="2015-12-31T00:00:00"/>
    <x v="0"/>
    <n v="23774.359639999999"/>
    <n v="0"/>
    <x v="3"/>
  </r>
  <r>
    <d v="2011-03-31T00:00:00"/>
    <d v="2015-03-31T00:00:00"/>
    <x v="4"/>
    <n v="26000.573810000002"/>
    <n v="0"/>
    <x v="4"/>
  </r>
  <r>
    <d v="2011-03-31T00:00:00"/>
    <d v="2015-06-30T00:00:00"/>
    <x v="3"/>
    <n v="26000.573810000002"/>
    <n v="0"/>
    <x v="4"/>
  </r>
  <r>
    <d v="2011-03-31T00:00:00"/>
    <d v="2015-09-30T00:00:00"/>
    <x v="2"/>
    <n v="26000.573810000002"/>
    <n v="0"/>
    <x v="4"/>
  </r>
  <r>
    <d v="2011-03-31T00:00:00"/>
    <d v="2015-12-31T00:00:00"/>
    <x v="1"/>
    <n v="26000.573810000002"/>
    <n v="0"/>
    <x v="4"/>
  </r>
  <r>
    <d v="2011-03-31T00:00:00"/>
    <d v="2016-03-31T00:00:00"/>
    <x v="0"/>
    <n v="26000.573810000002"/>
    <n v="0"/>
    <x v="4"/>
  </r>
  <r>
    <d v="2011-06-30T00:00:00"/>
    <d v="2015-03-31T00:00:00"/>
    <x v="5"/>
    <n v="22062.420119999999"/>
    <n v="0"/>
    <x v="5"/>
  </r>
  <r>
    <d v="2011-06-30T00:00:00"/>
    <d v="2015-06-30T00:00:00"/>
    <x v="4"/>
    <n v="22062.420119999999"/>
    <n v="0"/>
    <x v="5"/>
  </r>
  <r>
    <d v="2011-06-30T00:00:00"/>
    <d v="2015-09-30T00:00:00"/>
    <x v="3"/>
    <n v="22062.420119999999"/>
    <n v="0"/>
    <x v="5"/>
  </r>
  <r>
    <d v="2011-06-30T00:00:00"/>
    <d v="2015-12-31T00:00:00"/>
    <x v="2"/>
    <n v="22062.420119999999"/>
    <n v="0"/>
    <x v="5"/>
  </r>
  <r>
    <d v="2011-06-30T00:00:00"/>
    <d v="2016-03-31T00:00:00"/>
    <x v="1"/>
    <n v="22062.420119999999"/>
    <n v="0"/>
    <x v="5"/>
  </r>
  <r>
    <d v="2011-06-30T00:00:00"/>
    <d v="2016-06-30T00:00:00"/>
    <x v="0"/>
    <n v="22062.420119999999"/>
    <n v="0"/>
    <x v="5"/>
  </r>
  <r>
    <d v="2011-09-30T00:00:00"/>
    <d v="2015-03-31T00:00:00"/>
    <x v="6"/>
    <n v="25940.097430000002"/>
    <n v="0"/>
    <x v="6"/>
  </r>
  <r>
    <d v="2011-09-30T00:00:00"/>
    <d v="2015-06-30T00:00:00"/>
    <x v="5"/>
    <n v="25940.097430000002"/>
    <n v="0"/>
    <x v="6"/>
  </r>
  <r>
    <d v="2011-09-30T00:00:00"/>
    <d v="2015-09-30T00:00:00"/>
    <x v="4"/>
    <n v="25940.097430000002"/>
    <n v="0"/>
    <x v="6"/>
  </r>
  <r>
    <d v="2011-09-30T00:00:00"/>
    <d v="2015-12-31T00:00:00"/>
    <x v="3"/>
    <n v="25940.097430000002"/>
    <n v="0"/>
    <x v="6"/>
  </r>
  <r>
    <d v="2011-09-30T00:00:00"/>
    <d v="2016-03-31T00:00:00"/>
    <x v="2"/>
    <n v="25927.688969999999"/>
    <n v="0"/>
    <x v="6"/>
  </r>
  <r>
    <d v="2011-09-30T00:00:00"/>
    <d v="2016-06-30T00:00:00"/>
    <x v="1"/>
    <n v="25921.44916"/>
    <n v="0"/>
    <x v="6"/>
  </r>
  <r>
    <d v="2011-09-30T00:00:00"/>
    <d v="2016-09-30T00:00:00"/>
    <x v="0"/>
    <n v="25931.959569999999"/>
    <n v="0"/>
    <x v="6"/>
  </r>
  <r>
    <d v="2011-12-31T00:00:00"/>
    <d v="2015-03-31T00:00:00"/>
    <x v="7"/>
    <n v="32463.954549999999"/>
    <n v="0"/>
    <x v="7"/>
  </r>
  <r>
    <d v="2011-12-31T00:00:00"/>
    <d v="2015-06-30T00:00:00"/>
    <x v="6"/>
    <n v="32463.954549999999"/>
    <n v="0"/>
    <x v="7"/>
  </r>
  <r>
    <d v="2011-12-31T00:00:00"/>
    <d v="2015-09-30T00:00:00"/>
    <x v="5"/>
    <n v="32463.954549999999"/>
    <n v="0"/>
    <x v="7"/>
  </r>
  <r>
    <d v="2011-12-31T00:00:00"/>
    <d v="2015-12-31T00:00:00"/>
    <x v="4"/>
    <n v="32463.954549999999"/>
    <n v="0"/>
    <x v="7"/>
  </r>
  <r>
    <d v="2011-12-31T00:00:00"/>
    <d v="2016-03-31T00:00:00"/>
    <x v="3"/>
    <n v="32463.954549999999"/>
    <n v="0"/>
    <x v="7"/>
  </r>
  <r>
    <d v="2011-12-31T00:00:00"/>
    <d v="2016-06-30T00:00:00"/>
    <x v="2"/>
    <n v="32463.954549999999"/>
    <n v="0"/>
    <x v="7"/>
  </r>
  <r>
    <d v="2011-12-31T00:00:00"/>
    <d v="2016-09-30T00:00:00"/>
    <x v="1"/>
    <n v="32463.954549999999"/>
    <n v="0"/>
    <x v="7"/>
  </r>
  <r>
    <d v="2011-12-31T00:00:00"/>
    <d v="2016-12-31T00:00:00"/>
    <x v="0"/>
    <n v="32463.954549999999"/>
    <n v="0"/>
    <x v="7"/>
  </r>
  <r>
    <d v="2012-03-31T00:00:00"/>
    <d v="2015-03-31T00:00:00"/>
    <x v="8"/>
    <n v="29765.697189999999"/>
    <n v="0"/>
    <x v="8"/>
  </r>
  <r>
    <d v="2012-03-31T00:00:00"/>
    <d v="2015-06-30T00:00:00"/>
    <x v="7"/>
    <n v="29764.653259999999"/>
    <n v="0"/>
    <x v="8"/>
  </r>
  <r>
    <d v="2012-03-31T00:00:00"/>
    <d v="2015-09-30T00:00:00"/>
    <x v="6"/>
    <n v="29763.63307"/>
    <n v="0"/>
    <x v="8"/>
  </r>
  <r>
    <d v="2012-03-31T00:00:00"/>
    <d v="2015-12-31T00:00:00"/>
    <x v="5"/>
    <n v="29763.63307"/>
    <n v="0"/>
    <x v="8"/>
  </r>
  <r>
    <d v="2012-03-31T00:00:00"/>
    <d v="2016-03-31T00:00:00"/>
    <x v="4"/>
    <n v="29763.63307"/>
    <n v="0"/>
    <x v="8"/>
  </r>
  <r>
    <d v="2012-03-31T00:00:00"/>
    <d v="2016-06-30T00:00:00"/>
    <x v="3"/>
    <n v="29763.63307"/>
    <n v="0"/>
    <x v="8"/>
  </r>
  <r>
    <d v="2012-03-31T00:00:00"/>
    <d v="2016-09-30T00:00:00"/>
    <x v="2"/>
    <n v="29759.908159999999"/>
    <n v="0"/>
    <x v="8"/>
  </r>
  <r>
    <d v="2012-03-31T00:00:00"/>
    <d v="2016-12-31T00:00:00"/>
    <x v="1"/>
    <n v="29759.908159999999"/>
    <n v="0"/>
    <x v="8"/>
  </r>
  <r>
    <d v="2012-03-31T00:00:00"/>
    <d v="2017-03-31T00:00:00"/>
    <x v="0"/>
    <n v="29759.908159999999"/>
    <n v="0"/>
    <x v="8"/>
  </r>
  <r>
    <d v="2012-06-30T00:00:00"/>
    <d v="2015-03-31T00:00:00"/>
    <x v="9"/>
    <n v="27184.003369999999"/>
    <n v="0"/>
    <x v="9"/>
  </r>
  <r>
    <d v="2012-06-30T00:00:00"/>
    <d v="2015-06-30T00:00:00"/>
    <x v="8"/>
    <n v="27184.003369999999"/>
    <n v="0"/>
    <x v="9"/>
  </r>
  <r>
    <d v="2012-06-30T00:00:00"/>
    <d v="2015-09-30T00:00:00"/>
    <x v="7"/>
    <n v="27184.003369999999"/>
    <n v="0"/>
    <x v="9"/>
  </r>
  <r>
    <d v="2012-06-30T00:00:00"/>
    <d v="2015-12-31T00:00:00"/>
    <x v="6"/>
    <n v="27043.738020000001"/>
    <n v="0"/>
    <x v="9"/>
  </r>
  <r>
    <d v="2012-06-30T00:00:00"/>
    <d v="2016-03-31T00:00:00"/>
    <x v="5"/>
    <n v="27043.738020000001"/>
    <n v="0"/>
    <x v="9"/>
  </r>
  <r>
    <d v="2012-06-30T00:00:00"/>
    <d v="2016-06-30T00:00:00"/>
    <x v="4"/>
    <n v="27043.738020000001"/>
    <n v="0"/>
    <x v="9"/>
  </r>
  <r>
    <d v="2012-06-30T00:00:00"/>
    <d v="2016-09-30T00:00:00"/>
    <x v="3"/>
    <n v="27043.738020000001"/>
    <n v="0"/>
    <x v="9"/>
  </r>
  <r>
    <d v="2012-06-30T00:00:00"/>
    <d v="2016-12-31T00:00:00"/>
    <x v="2"/>
    <n v="27043.738020000001"/>
    <n v="0"/>
    <x v="9"/>
  </r>
  <r>
    <d v="2012-06-30T00:00:00"/>
    <d v="2017-03-31T00:00:00"/>
    <x v="1"/>
    <n v="27043.738020000001"/>
    <n v="0"/>
    <x v="9"/>
  </r>
  <r>
    <d v="2012-06-30T00:00:00"/>
    <d v="2017-06-30T00:00:00"/>
    <x v="0"/>
    <n v="27043.738020000001"/>
    <n v="0"/>
    <x v="9"/>
  </r>
  <r>
    <d v="2012-09-30T00:00:00"/>
    <d v="2015-03-31T00:00:00"/>
    <x v="10"/>
    <n v="32479.803199999998"/>
    <n v="0"/>
    <x v="10"/>
  </r>
  <r>
    <d v="2012-09-30T00:00:00"/>
    <d v="2015-06-30T00:00:00"/>
    <x v="9"/>
    <n v="32317.235860000001"/>
    <n v="0"/>
    <x v="10"/>
  </r>
  <r>
    <d v="2012-09-30T00:00:00"/>
    <d v="2015-09-30T00:00:00"/>
    <x v="8"/>
    <n v="32441.723720000002"/>
    <n v="0"/>
    <x v="10"/>
  </r>
  <r>
    <d v="2012-09-30T00:00:00"/>
    <d v="2015-12-31T00:00:00"/>
    <x v="7"/>
    <n v="32413.253089999998"/>
    <n v="0"/>
    <x v="10"/>
  </r>
  <r>
    <d v="2012-09-30T00:00:00"/>
    <d v="2016-03-31T00:00:00"/>
    <x v="6"/>
    <n v="32454.132180000001"/>
    <n v="0"/>
    <x v="10"/>
  </r>
  <r>
    <d v="2012-09-30T00:00:00"/>
    <d v="2016-06-30T00:00:00"/>
    <x v="5"/>
    <n v="32454.132180000001"/>
    <n v="0"/>
    <x v="10"/>
  </r>
  <r>
    <d v="2012-09-30T00:00:00"/>
    <d v="2016-09-30T00:00:00"/>
    <x v="4"/>
    <n v="32560.849620000001"/>
    <n v="0"/>
    <x v="10"/>
  </r>
  <r>
    <d v="2012-09-30T00:00:00"/>
    <d v="2016-12-31T00:00:00"/>
    <x v="3"/>
    <n v="32564.503349999999"/>
    <n v="0"/>
    <x v="10"/>
  </r>
  <r>
    <d v="2012-09-30T00:00:00"/>
    <d v="2017-03-31T00:00:00"/>
    <x v="2"/>
    <n v="32564.503349999999"/>
    <n v="0"/>
    <x v="10"/>
  </r>
  <r>
    <d v="2012-09-30T00:00:00"/>
    <d v="2017-06-30T00:00:00"/>
    <x v="1"/>
    <n v="32560.564920000001"/>
    <n v="0"/>
    <x v="10"/>
  </r>
  <r>
    <d v="2012-09-30T00:00:00"/>
    <d v="2017-09-30T00:00:00"/>
    <x v="0"/>
    <n v="32560.564920000001"/>
    <n v="0"/>
    <x v="10"/>
  </r>
  <r>
    <d v="2012-12-31T00:00:00"/>
    <d v="2015-03-31T00:00:00"/>
    <x v="11"/>
    <n v="41486.039069999999"/>
    <n v="0"/>
    <x v="11"/>
  </r>
  <r>
    <d v="2012-12-31T00:00:00"/>
    <d v="2015-06-30T00:00:00"/>
    <x v="10"/>
    <n v="41475.599829999999"/>
    <n v="0"/>
    <x v="11"/>
  </r>
  <r>
    <d v="2012-12-31T00:00:00"/>
    <d v="2015-09-30T00:00:00"/>
    <x v="9"/>
    <n v="41551.308010000001"/>
    <n v="0"/>
    <x v="11"/>
  </r>
  <r>
    <d v="2012-12-31T00:00:00"/>
    <d v="2015-12-31T00:00:00"/>
    <x v="8"/>
    <n v="41551.308010000001"/>
    <n v="0"/>
    <x v="11"/>
  </r>
  <r>
    <d v="2012-12-31T00:00:00"/>
    <d v="2016-03-31T00:00:00"/>
    <x v="7"/>
    <n v="41551.308010000001"/>
    <n v="0"/>
    <x v="11"/>
  </r>
  <r>
    <d v="2012-12-31T00:00:00"/>
    <d v="2016-06-30T00:00:00"/>
    <x v="6"/>
    <n v="41551.308010000001"/>
    <n v="0"/>
    <x v="11"/>
  </r>
  <r>
    <d v="2012-12-31T00:00:00"/>
    <d v="2016-09-30T00:00:00"/>
    <x v="5"/>
    <n v="41583.408649999998"/>
    <n v="0"/>
    <x v="11"/>
  </r>
  <r>
    <d v="2012-12-31T00:00:00"/>
    <d v="2016-12-31T00:00:00"/>
    <x v="4"/>
    <n v="41583.408649999998"/>
    <n v="0"/>
    <x v="11"/>
  </r>
  <r>
    <d v="2012-12-31T00:00:00"/>
    <d v="2017-03-31T00:00:00"/>
    <x v="3"/>
    <n v="41583.408649999998"/>
    <n v="0"/>
    <x v="11"/>
  </r>
  <r>
    <d v="2012-12-31T00:00:00"/>
    <d v="2017-06-30T00:00:00"/>
    <x v="2"/>
    <n v="41255.996299999999"/>
    <n v="0"/>
    <x v="11"/>
  </r>
  <r>
    <d v="2012-12-31T00:00:00"/>
    <d v="2017-09-30T00:00:00"/>
    <x v="1"/>
    <n v="41214.381719999998"/>
    <n v="0"/>
    <x v="11"/>
  </r>
  <r>
    <d v="2012-12-31T00:00:00"/>
    <d v="2017-12-31T00:00:00"/>
    <x v="0"/>
    <n v="41214.381719999998"/>
    <n v="0"/>
    <x v="11"/>
  </r>
  <r>
    <d v="2013-03-31T00:00:00"/>
    <d v="2015-03-31T00:00:00"/>
    <x v="12"/>
    <n v="38508.081400000003"/>
    <n v="0"/>
    <x v="12"/>
  </r>
  <r>
    <d v="2013-03-31T00:00:00"/>
    <d v="2015-06-30T00:00:00"/>
    <x v="11"/>
    <n v="38516.290439999997"/>
    <n v="0"/>
    <x v="12"/>
  </r>
  <r>
    <d v="2013-03-31T00:00:00"/>
    <d v="2015-09-30T00:00:00"/>
    <x v="10"/>
    <n v="38526.658490000002"/>
    <n v="0"/>
    <x v="12"/>
  </r>
  <r>
    <d v="2013-03-31T00:00:00"/>
    <d v="2015-12-31T00:00:00"/>
    <x v="9"/>
    <n v="38510.714939999998"/>
    <n v="0"/>
    <x v="12"/>
  </r>
  <r>
    <d v="2013-03-31T00:00:00"/>
    <d v="2016-03-31T00:00:00"/>
    <x v="8"/>
    <n v="38510.714939999998"/>
    <n v="0"/>
    <x v="12"/>
  </r>
  <r>
    <d v="2013-03-31T00:00:00"/>
    <d v="2016-06-30T00:00:00"/>
    <x v="7"/>
    <n v="38510.714939999998"/>
    <n v="0"/>
    <x v="12"/>
  </r>
  <r>
    <d v="2013-03-31T00:00:00"/>
    <d v="2016-09-30T00:00:00"/>
    <x v="6"/>
    <n v="38776.891689999997"/>
    <n v="0"/>
    <x v="12"/>
  </r>
  <r>
    <d v="2013-03-31T00:00:00"/>
    <d v="2016-12-31T00:00:00"/>
    <x v="5"/>
    <n v="38729.013559999999"/>
    <n v="0"/>
    <x v="12"/>
  </r>
  <r>
    <d v="2013-03-31T00:00:00"/>
    <d v="2017-03-31T00:00:00"/>
    <x v="4"/>
    <n v="38726.641009999999"/>
    <n v="0"/>
    <x v="12"/>
  </r>
  <r>
    <d v="2013-03-31T00:00:00"/>
    <d v="2017-06-30T00:00:00"/>
    <x v="3"/>
    <n v="38726.641009999999"/>
    <n v="0"/>
    <x v="12"/>
  </r>
  <r>
    <d v="2013-03-31T00:00:00"/>
    <d v="2017-09-30T00:00:00"/>
    <x v="2"/>
    <n v="38726.641009999999"/>
    <n v="0"/>
    <x v="12"/>
  </r>
  <r>
    <d v="2013-03-31T00:00:00"/>
    <d v="2017-12-31T00:00:00"/>
    <x v="1"/>
    <n v="38726.641009999999"/>
    <n v="0"/>
    <x v="12"/>
  </r>
  <r>
    <d v="2013-03-31T00:00:00"/>
    <d v="2018-03-31T00:00:00"/>
    <x v="0"/>
    <n v="38737.056519999998"/>
    <n v="0"/>
    <x v="12"/>
  </r>
  <r>
    <d v="2013-06-30T00:00:00"/>
    <d v="2015-03-31T00:00:00"/>
    <x v="13"/>
    <n v="26322.956340000001"/>
    <n v="0"/>
    <x v="13"/>
  </r>
  <r>
    <d v="2013-06-30T00:00:00"/>
    <d v="2015-06-30T00:00:00"/>
    <x v="12"/>
    <n v="26318.306140000001"/>
    <n v="0"/>
    <x v="13"/>
  </r>
  <r>
    <d v="2013-06-30T00:00:00"/>
    <d v="2015-09-30T00:00:00"/>
    <x v="11"/>
    <n v="26309.005730000001"/>
    <n v="0"/>
    <x v="13"/>
  </r>
  <r>
    <d v="2013-06-30T00:00:00"/>
    <d v="2015-12-31T00:00:00"/>
    <x v="10"/>
    <n v="26621.186290000001"/>
    <n v="0"/>
    <x v="13"/>
  </r>
  <r>
    <d v="2013-06-30T00:00:00"/>
    <d v="2016-03-31T00:00:00"/>
    <x v="9"/>
    <n v="26621.186290000001"/>
    <n v="0"/>
    <x v="13"/>
  </r>
  <r>
    <d v="2013-06-30T00:00:00"/>
    <d v="2016-06-30T00:00:00"/>
    <x v="8"/>
    <n v="26639.73965"/>
    <n v="0"/>
    <x v="13"/>
  </r>
  <r>
    <d v="2013-06-30T00:00:00"/>
    <d v="2016-09-30T00:00:00"/>
    <x v="7"/>
    <n v="26639.73965"/>
    <n v="0"/>
    <x v="13"/>
  </r>
  <r>
    <d v="2013-06-30T00:00:00"/>
    <d v="2016-12-31T00:00:00"/>
    <x v="6"/>
    <n v="26624.341779999999"/>
    <n v="0"/>
    <x v="13"/>
  </r>
  <r>
    <d v="2013-06-30T00:00:00"/>
    <d v="2017-03-31T00:00:00"/>
    <x v="5"/>
    <n v="26624.341779999999"/>
    <n v="0"/>
    <x v="13"/>
  </r>
  <r>
    <d v="2013-06-30T00:00:00"/>
    <d v="2017-06-30T00:00:00"/>
    <x v="4"/>
    <n v="26623.630020000001"/>
    <n v="0"/>
    <x v="13"/>
  </r>
  <r>
    <d v="2013-06-30T00:00:00"/>
    <d v="2017-09-30T00:00:00"/>
    <x v="3"/>
    <n v="26623.630020000001"/>
    <n v="0"/>
    <x v="13"/>
  </r>
  <r>
    <d v="2013-06-30T00:00:00"/>
    <d v="2017-12-31T00:00:00"/>
    <x v="2"/>
    <n v="26623.630020000001"/>
    <n v="0"/>
    <x v="13"/>
  </r>
  <r>
    <d v="2013-06-30T00:00:00"/>
    <d v="2018-03-31T00:00:00"/>
    <x v="1"/>
    <n v="26623.630020000001"/>
    <n v="0"/>
    <x v="13"/>
  </r>
  <r>
    <d v="2013-06-30T00:00:00"/>
    <d v="2018-06-30T00:00:00"/>
    <x v="0"/>
    <n v="26623.630020000001"/>
    <n v="0"/>
    <x v="13"/>
  </r>
  <r>
    <d v="2013-09-30T00:00:00"/>
    <d v="2015-03-31T00:00:00"/>
    <x v="14"/>
    <n v="27364.72075"/>
    <n v="0"/>
    <x v="14"/>
  </r>
  <r>
    <d v="2013-09-30T00:00:00"/>
    <d v="2015-06-30T00:00:00"/>
    <x v="13"/>
    <n v="27262.700959999998"/>
    <n v="0"/>
    <x v="14"/>
  </r>
  <r>
    <d v="2013-09-30T00:00:00"/>
    <d v="2015-09-30T00:00:00"/>
    <x v="12"/>
    <n v="27243.910339999999"/>
    <n v="0"/>
    <x v="14"/>
  </r>
  <r>
    <d v="2013-09-30T00:00:00"/>
    <d v="2015-12-31T00:00:00"/>
    <x v="11"/>
    <n v="27246.164260000001"/>
    <n v="0"/>
    <x v="14"/>
  </r>
  <r>
    <d v="2013-09-30T00:00:00"/>
    <d v="2016-03-31T00:00:00"/>
    <x v="10"/>
    <n v="27256.556049999999"/>
    <n v="0"/>
    <x v="14"/>
  </r>
  <r>
    <d v="2013-09-30T00:00:00"/>
    <d v="2016-06-30T00:00:00"/>
    <x v="9"/>
    <n v="27246.14054"/>
    <n v="0"/>
    <x v="14"/>
  </r>
  <r>
    <d v="2013-09-30T00:00:00"/>
    <d v="2016-09-30T00:00:00"/>
    <x v="8"/>
    <n v="27246.14054"/>
    <n v="0"/>
    <x v="14"/>
  </r>
  <r>
    <d v="2013-09-30T00:00:00"/>
    <d v="2016-12-31T00:00:00"/>
    <x v="7"/>
    <n v="27258.643889999999"/>
    <n v="0"/>
    <x v="14"/>
  </r>
  <r>
    <d v="2013-09-30T00:00:00"/>
    <d v="2017-03-31T00:00:00"/>
    <x v="6"/>
    <n v="27258.643889999999"/>
    <n v="0"/>
    <x v="14"/>
  </r>
  <r>
    <d v="2013-09-30T00:00:00"/>
    <d v="2017-06-30T00:00:00"/>
    <x v="5"/>
    <n v="27258.643889999999"/>
    <n v="0"/>
    <x v="14"/>
  </r>
  <r>
    <d v="2013-09-30T00:00:00"/>
    <d v="2017-09-30T00:00:00"/>
    <x v="4"/>
    <n v="27258.643889999999"/>
    <n v="0"/>
    <x v="14"/>
  </r>
  <r>
    <d v="2013-09-30T00:00:00"/>
    <d v="2017-12-31T00:00:00"/>
    <x v="3"/>
    <n v="27258.643889999999"/>
    <n v="0"/>
    <x v="14"/>
  </r>
  <r>
    <d v="2013-09-30T00:00:00"/>
    <d v="2018-03-31T00:00:00"/>
    <x v="2"/>
    <n v="27258.643889999999"/>
    <n v="0"/>
    <x v="14"/>
  </r>
  <r>
    <d v="2013-09-30T00:00:00"/>
    <d v="2018-06-30T00:00:00"/>
    <x v="1"/>
    <n v="27258.66762"/>
    <n v="0"/>
    <x v="14"/>
  </r>
  <r>
    <d v="2013-09-30T00:00:00"/>
    <d v="2018-09-30T00:00:00"/>
    <x v="0"/>
    <n v="27258.643889999999"/>
    <n v="0"/>
    <x v="14"/>
  </r>
  <r>
    <d v="2013-12-31T00:00:00"/>
    <d v="2015-03-31T00:00:00"/>
    <x v="15"/>
    <n v="45806.36363"/>
    <n v="0"/>
    <x v="15"/>
  </r>
  <r>
    <d v="2013-12-31T00:00:00"/>
    <d v="2015-06-30T00:00:00"/>
    <x v="14"/>
    <n v="44432.845099999999"/>
    <n v="0"/>
    <x v="15"/>
  </r>
  <r>
    <d v="2013-12-31T00:00:00"/>
    <d v="2015-09-30T00:00:00"/>
    <x v="13"/>
    <n v="44633.705459999997"/>
    <n v="0"/>
    <x v="15"/>
  </r>
  <r>
    <d v="2013-12-31T00:00:00"/>
    <d v="2015-12-31T00:00:00"/>
    <x v="12"/>
    <n v="44637.715080000002"/>
    <n v="0"/>
    <x v="15"/>
  </r>
  <r>
    <d v="2013-12-31T00:00:00"/>
    <d v="2016-03-31T00:00:00"/>
    <x v="11"/>
    <n v="44694.015769999998"/>
    <n v="0"/>
    <x v="15"/>
  </r>
  <r>
    <d v="2013-12-31T00:00:00"/>
    <d v="2016-06-30T00:00:00"/>
    <x v="10"/>
    <n v="44694.015769999998"/>
    <n v="0"/>
    <x v="15"/>
  </r>
  <r>
    <d v="2013-12-31T00:00:00"/>
    <d v="2016-09-30T00:00:00"/>
    <x v="9"/>
    <n v="44683.576529999998"/>
    <n v="0"/>
    <x v="15"/>
  </r>
  <r>
    <d v="2013-12-31T00:00:00"/>
    <d v="2016-12-31T00:00:00"/>
    <x v="8"/>
    <n v="44481.434990000002"/>
    <n v="0"/>
    <x v="15"/>
  </r>
  <r>
    <d v="2013-12-31T00:00:00"/>
    <d v="2017-03-31T00:00:00"/>
    <x v="7"/>
    <n v="44528.719980000002"/>
    <n v="0"/>
    <x v="15"/>
  </r>
  <r>
    <d v="2013-12-31T00:00:00"/>
    <d v="2017-06-30T00:00:00"/>
    <x v="6"/>
    <n v="44567.202790000003"/>
    <n v="0"/>
    <x v="15"/>
  </r>
  <r>
    <d v="2013-12-31T00:00:00"/>
    <d v="2017-09-30T00:00:00"/>
    <x v="5"/>
    <n v="44675.652199999997"/>
    <n v="0"/>
    <x v="15"/>
  </r>
  <r>
    <d v="2013-12-31T00:00:00"/>
    <d v="2017-12-31T00:00:00"/>
    <x v="4"/>
    <n v="44707.041080000003"/>
    <n v="0"/>
    <x v="15"/>
  </r>
  <r>
    <d v="2013-12-31T00:00:00"/>
    <d v="2018-03-31T00:00:00"/>
    <x v="3"/>
    <n v="44790.293980000002"/>
    <n v="0"/>
    <x v="15"/>
  </r>
  <r>
    <d v="2013-12-31T00:00:00"/>
    <d v="2018-06-30T00:00:00"/>
    <x v="2"/>
    <n v="44837.151899999997"/>
    <n v="0"/>
    <x v="15"/>
  </r>
  <r>
    <d v="2013-12-31T00:00:00"/>
    <d v="2018-09-30T00:00:00"/>
    <x v="1"/>
    <n v="44883.060810000003"/>
    <n v="0"/>
    <x v="15"/>
  </r>
  <r>
    <d v="2013-12-31T00:00:00"/>
    <d v="2018-12-31T00:00:00"/>
    <x v="0"/>
    <n v="44814.470289999997"/>
    <n v="0"/>
    <x v="15"/>
  </r>
  <r>
    <d v="2014-03-31T00:00:00"/>
    <d v="2015-03-31T00:00:00"/>
    <x v="16"/>
    <n v="37946.521769999999"/>
    <n v="0"/>
    <x v="16"/>
  </r>
  <r>
    <d v="2014-03-31T00:00:00"/>
    <d v="2015-06-30T00:00:00"/>
    <x v="15"/>
    <n v="37692.445050000002"/>
    <n v="0"/>
    <x v="16"/>
  </r>
  <r>
    <d v="2014-03-31T00:00:00"/>
    <d v="2015-09-30T00:00:00"/>
    <x v="14"/>
    <n v="37686.371310000002"/>
    <n v="0"/>
    <x v="16"/>
  </r>
  <r>
    <d v="2014-03-31T00:00:00"/>
    <d v="2015-12-31T00:00:00"/>
    <x v="13"/>
    <n v="37629.216500000002"/>
    <n v="0"/>
    <x v="16"/>
  </r>
  <r>
    <d v="2014-03-31T00:00:00"/>
    <d v="2016-03-31T00:00:00"/>
    <x v="12"/>
    <n v="37634.198859999997"/>
    <n v="0"/>
    <x v="16"/>
  </r>
  <r>
    <d v="2014-03-31T00:00:00"/>
    <d v="2016-06-30T00:00:00"/>
    <x v="11"/>
    <n v="37634.198859999997"/>
    <n v="0"/>
    <x v="16"/>
  </r>
  <r>
    <d v="2014-03-31T00:00:00"/>
    <d v="2016-09-30T00:00:00"/>
    <x v="10"/>
    <n v="37612.44255"/>
    <n v="0"/>
    <x v="16"/>
  </r>
  <r>
    <d v="2014-03-31T00:00:00"/>
    <d v="2016-12-31T00:00:00"/>
    <x v="9"/>
    <n v="37612.44255"/>
    <n v="0"/>
    <x v="16"/>
  </r>
  <r>
    <d v="2014-03-31T00:00:00"/>
    <d v="2017-03-31T00:00:00"/>
    <x v="8"/>
    <n v="37599.796840000003"/>
    <n v="0"/>
    <x v="16"/>
  </r>
  <r>
    <d v="2014-03-31T00:00:00"/>
    <d v="2017-06-30T00:00:00"/>
    <x v="7"/>
    <n v="37599.796840000003"/>
    <n v="0"/>
    <x v="16"/>
  </r>
  <r>
    <d v="2014-03-31T00:00:00"/>
    <d v="2017-09-30T00:00:00"/>
    <x v="6"/>
    <n v="37599.796840000003"/>
    <n v="0"/>
    <x v="16"/>
  </r>
  <r>
    <d v="2014-03-31T00:00:00"/>
    <d v="2017-12-31T00:00:00"/>
    <x v="5"/>
    <n v="37599.796840000003"/>
    <n v="0"/>
    <x v="16"/>
  </r>
  <r>
    <d v="2014-03-31T00:00:00"/>
    <d v="2018-03-31T00:00:00"/>
    <x v="4"/>
    <n v="37599.796840000003"/>
    <n v="0"/>
    <x v="16"/>
  </r>
  <r>
    <d v="2014-03-31T00:00:00"/>
    <d v="2018-06-30T00:00:00"/>
    <x v="3"/>
    <n v="37599.820570000003"/>
    <n v="0"/>
    <x v="16"/>
  </r>
  <r>
    <d v="2014-03-31T00:00:00"/>
    <d v="2018-09-30T00:00:00"/>
    <x v="2"/>
    <n v="37599.820570000003"/>
    <n v="0"/>
    <x v="16"/>
  </r>
  <r>
    <d v="2014-03-31T00:00:00"/>
    <d v="2018-12-31T00:00:00"/>
    <x v="1"/>
    <n v="37599.796840000003"/>
    <n v="0"/>
    <x v="16"/>
  </r>
  <r>
    <d v="2014-03-31T00:00:00"/>
    <d v="2019-03-31T00:00:00"/>
    <x v="0"/>
    <n v="37599.820570000003"/>
    <n v="0"/>
    <x v="16"/>
  </r>
  <r>
    <d v="2014-06-30T00:00:00"/>
    <d v="2015-03-31T00:00:00"/>
    <x v="17"/>
    <n v="38611.975509999997"/>
    <n v="0"/>
    <x v="17"/>
  </r>
  <r>
    <d v="2014-06-30T00:00:00"/>
    <d v="2015-06-30T00:00:00"/>
    <x v="16"/>
    <n v="37948.230009999999"/>
    <n v="0"/>
    <x v="17"/>
  </r>
  <r>
    <d v="2014-06-30T00:00:00"/>
    <d v="2015-09-30T00:00:00"/>
    <x v="15"/>
    <n v="38007.567569999999"/>
    <n v="0"/>
    <x v="17"/>
  </r>
  <r>
    <d v="2014-06-30T00:00:00"/>
    <d v="2015-12-31T00:00:00"/>
    <x v="14"/>
    <n v="38109.231480000002"/>
    <n v="0"/>
    <x v="17"/>
  </r>
  <r>
    <d v="2014-06-30T00:00:00"/>
    <d v="2016-03-31T00:00:00"/>
    <x v="13"/>
    <n v="38098.744789999997"/>
    <n v="0"/>
    <x v="17"/>
  </r>
  <r>
    <d v="2014-06-30T00:00:00"/>
    <d v="2016-06-30T00:00:00"/>
    <x v="12"/>
    <n v="38210.088710000004"/>
    <n v="0"/>
    <x v="17"/>
  </r>
  <r>
    <d v="2014-06-30T00:00:00"/>
    <d v="2016-09-30T00:00:00"/>
    <x v="11"/>
    <n v="38178.842190000003"/>
    <n v="0"/>
    <x v="17"/>
  </r>
  <r>
    <d v="2014-06-30T00:00:00"/>
    <d v="2016-12-31T00:00:00"/>
    <x v="10"/>
    <n v="38178.842190000003"/>
    <n v="0"/>
    <x v="17"/>
  </r>
  <r>
    <d v="2014-06-30T00:00:00"/>
    <d v="2017-03-31T00:00:00"/>
    <x v="9"/>
    <n v="38177.655910000001"/>
    <n v="0"/>
    <x v="17"/>
  </r>
  <r>
    <d v="2014-06-30T00:00:00"/>
    <d v="2017-06-30T00:00:00"/>
    <x v="8"/>
    <n v="38177.655910000001"/>
    <n v="0"/>
    <x v="17"/>
  </r>
  <r>
    <d v="2014-06-30T00:00:00"/>
    <d v="2017-09-30T00:00:00"/>
    <x v="7"/>
    <n v="38177.655910000001"/>
    <n v="0"/>
    <x v="17"/>
  </r>
  <r>
    <d v="2014-06-30T00:00:00"/>
    <d v="2017-12-31T00:00:00"/>
    <x v="6"/>
    <n v="38177.655910000001"/>
    <n v="0"/>
    <x v="17"/>
  </r>
  <r>
    <d v="2014-06-30T00:00:00"/>
    <d v="2018-03-31T00:00:00"/>
    <x v="5"/>
    <n v="38177.655910000001"/>
    <n v="0"/>
    <x v="17"/>
  </r>
  <r>
    <d v="2014-06-30T00:00:00"/>
    <d v="2018-06-30T00:00:00"/>
    <x v="4"/>
    <n v="38177.655910000001"/>
    <n v="0"/>
    <x v="17"/>
  </r>
  <r>
    <d v="2014-06-30T00:00:00"/>
    <d v="2018-09-30T00:00:00"/>
    <x v="3"/>
    <n v="38177.655910000001"/>
    <n v="0"/>
    <x v="17"/>
  </r>
  <r>
    <d v="2014-06-30T00:00:00"/>
    <d v="2018-12-31T00:00:00"/>
    <x v="2"/>
    <n v="38175.401989999998"/>
    <n v="0"/>
    <x v="17"/>
  </r>
  <r>
    <d v="2014-06-30T00:00:00"/>
    <d v="2019-03-31T00:00:00"/>
    <x v="1"/>
    <n v="38175.401989999998"/>
    <n v="0"/>
    <x v="17"/>
  </r>
  <r>
    <d v="2014-06-30T00:00:00"/>
    <d v="2019-06-30T00:00:00"/>
    <x v="0"/>
    <n v="38185.722589999998"/>
    <n v="0"/>
    <x v="17"/>
  </r>
  <r>
    <d v="2014-09-30T00:00:00"/>
    <d v="2015-03-31T00:00:00"/>
    <x v="18"/>
    <n v="35282.144469999999"/>
    <n v="0"/>
    <x v="18"/>
  </r>
  <r>
    <d v="2014-09-30T00:00:00"/>
    <d v="2015-06-30T00:00:00"/>
    <x v="17"/>
    <n v="34872.143550000001"/>
    <n v="0"/>
    <x v="18"/>
  </r>
  <r>
    <d v="2014-09-30T00:00:00"/>
    <d v="2015-09-30T00:00:00"/>
    <x v="16"/>
    <n v="35780.523009999997"/>
    <n v="0"/>
    <x v="18"/>
  </r>
  <r>
    <d v="2014-09-30T00:00:00"/>
    <d v="2015-12-31T00:00:00"/>
    <x v="15"/>
    <n v="35467.417159999997"/>
    <n v="0"/>
    <x v="18"/>
  </r>
  <r>
    <d v="2014-09-30T00:00:00"/>
    <d v="2016-03-31T00:00:00"/>
    <x v="14"/>
    <n v="35473.395989999997"/>
    <n v="0"/>
    <x v="18"/>
  </r>
  <r>
    <d v="2014-09-30T00:00:00"/>
    <d v="2016-06-30T00:00:00"/>
    <x v="13"/>
    <n v="35477.310709999998"/>
    <n v="0"/>
    <x v="18"/>
  </r>
  <r>
    <d v="2014-09-30T00:00:00"/>
    <d v="2016-09-30T00:00:00"/>
    <x v="12"/>
    <n v="35450.192419999999"/>
    <n v="0"/>
    <x v="18"/>
  </r>
  <r>
    <d v="2014-09-30T00:00:00"/>
    <d v="2016-12-31T00:00:00"/>
    <x v="11"/>
    <n v="35662.915549999998"/>
    <n v="0"/>
    <x v="18"/>
  </r>
  <r>
    <d v="2014-09-30T00:00:00"/>
    <d v="2017-03-31T00:00:00"/>
    <x v="10"/>
    <n v="35628.347439999998"/>
    <n v="0"/>
    <x v="18"/>
  </r>
  <r>
    <d v="2014-09-30T00:00:00"/>
    <d v="2017-06-30T00:00:00"/>
    <x v="9"/>
    <n v="35557.69281"/>
    <n v="0"/>
    <x v="18"/>
  </r>
  <r>
    <d v="2014-09-30T00:00:00"/>
    <d v="2017-09-30T00:00:00"/>
    <x v="8"/>
    <n v="35557.69281"/>
    <n v="0"/>
    <x v="18"/>
  </r>
  <r>
    <d v="2014-09-30T00:00:00"/>
    <d v="2017-12-31T00:00:00"/>
    <x v="7"/>
    <n v="35563.695370000001"/>
    <n v="0"/>
    <x v="18"/>
  </r>
  <r>
    <d v="2014-09-30T00:00:00"/>
    <d v="2018-03-31T00:00:00"/>
    <x v="6"/>
    <n v="35563.695370000001"/>
    <n v="0"/>
    <x v="18"/>
  </r>
  <r>
    <d v="2014-09-30T00:00:00"/>
    <d v="2018-06-30T00:00:00"/>
    <x v="5"/>
    <n v="35576.127549999997"/>
    <n v="0"/>
    <x v="18"/>
  </r>
  <r>
    <d v="2014-09-30T00:00:00"/>
    <d v="2018-09-30T00:00:00"/>
    <x v="4"/>
    <n v="35576.127549999997"/>
    <n v="0"/>
    <x v="18"/>
  </r>
  <r>
    <d v="2014-09-30T00:00:00"/>
    <d v="2018-12-31T00:00:00"/>
    <x v="3"/>
    <n v="35570.884209999997"/>
    <n v="0"/>
    <x v="18"/>
  </r>
  <r>
    <d v="2014-09-30T00:00:00"/>
    <d v="2019-03-31T00:00:00"/>
    <x v="2"/>
    <n v="35570.884209999997"/>
    <n v="0"/>
    <x v="18"/>
  </r>
  <r>
    <d v="2014-09-30T00:00:00"/>
    <d v="2019-06-30T00:00:00"/>
    <x v="1"/>
    <n v="35568.914989999997"/>
    <n v="0"/>
    <x v="18"/>
  </r>
  <r>
    <d v="2014-09-30T00:00:00"/>
    <d v="2019-09-30T00:00:00"/>
    <x v="0"/>
    <n v="35555.58124"/>
    <n v="0"/>
    <x v="18"/>
  </r>
  <r>
    <d v="2014-12-31T00:00:00"/>
    <d v="2015-03-31T00:00:00"/>
    <x v="19"/>
    <n v="35454.984980000001"/>
    <n v="0"/>
    <x v="19"/>
  </r>
  <r>
    <d v="2014-12-31T00:00:00"/>
    <d v="2015-06-30T00:00:00"/>
    <x v="18"/>
    <n v="36729.971369999999"/>
    <n v="0"/>
    <x v="19"/>
  </r>
  <r>
    <d v="2014-12-31T00:00:00"/>
    <d v="2015-09-30T00:00:00"/>
    <x v="17"/>
    <n v="37065.545299999998"/>
    <n v="0"/>
    <x v="19"/>
  </r>
  <r>
    <d v="2014-12-31T00:00:00"/>
    <d v="2015-12-31T00:00:00"/>
    <x v="16"/>
    <n v="36676.588920000002"/>
    <n v="0"/>
    <x v="19"/>
  </r>
  <r>
    <d v="2014-12-31T00:00:00"/>
    <d v="2016-03-31T00:00:00"/>
    <x v="15"/>
    <n v="36631.462959999997"/>
    <n v="0"/>
    <x v="19"/>
  </r>
  <r>
    <d v="2014-12-31T00:00:00"/>
    <d v="2016-06-30T00:00:00"/>
    <x v="14"/>
    <n v="36391.882530000003"/>
    <n v="0"/>
    <x v="19"/>
  </r>
  <r>
    <d v="2014-12-31T00:00:00"/>
    <d v="2016-09-30T00:00:00"/>
    <x v="13"/>
    <n v="36360.659729999999"/>
    <n v="0"/>
    <x v="19"/>
  </r>
  <r>
    <d v="2014-12-31T00:00:00"/>
    <d v="2016-12-31T00:00:00"/>
    <x v="12"/>
    <n v="36376.366029999997"/>
    <n v="0"/>
    <x v="19"/>
  </r>
  <r>
    <d v="2014-12-31T00:00:00"/>
    <d v="2017-03-31T00:00:00"/>
    <x v="11"/>
    <n v="36386.781540000004"/>
    <n v="0"/>
    <x v="19"/>
  </r>
  <r>
    <d v="2014-12-31T00:00:00"/>
    <d v="2017-06-30T00:00:00"/>
    <x v="10"/>
    <n v="36420.495519999997"/>
    <n v="0"/>
    <x v="19"/>
  </r>
  <r>
    <d v="2014-12-31T00:00:00"/>
    <d v="2017-09-30T00:00:00"/>
    <x v="9"/>
    <n v="36420.495519999997"/>
    <n v="0"/>
    <x v="19"/>
  </r>
  <r>
    <d v="2014-12-31T00:00:00"/>
    <d v="2017-12-31T00:00:00"/>
    <x v="8"/>
    <n v="36430.911030000003"/>
    <n v="0"/>
    <x v="19"/>
  </r>
  <r>
    <d v="2014-12-31T00:00:00"/>
    <d v="2018-03-31T00:00:00"/>
    <x v="7"/>
    <n v="36445.027719999998"/>
    <n v="0"/>
    <x v="19"/>
  </r>
  <r>
    <d v="2014-12-31T00:00:00"/>
    <d v="2018-06-30T00:00:00"/>
    <x v="6"/>
    <n v="36449.701650000003"/>
    <n v="0"/>
    <x v="19"/>
  </r>
  <r>
    <d v="2014-12-31T00:00:00"/>
    <d v="2018-09-30T00:00:00"/>
    <x v="5"/>
    <n v="36449.867729999998"/>
    <n v="0"/>
    <x v="19"/>
  </r>
  <r>
    <d v="2014-12-31T00:00:00"/>
    <d v="2018-12-31T00:00:00"/>
    <x v="4"/>
    <n v="36436.984770000003"/>
    <n v="0"/>
    <x v="19"/>
  </r>
  <r>
    <d v="2014-12-31T00:00:00"/>
    <d v="2019-03-31T00:00:00"/>
    <x v="3"/>
    <n v="36436.984770000003"/>
    <n v="0"/>
    <x v="19"/>
  </r>
  <r>
    <d v="2014-12-31T00:00:00"/>
    <d v="2019-06-30T00:00:00"/>
    <x v="2"/>
    <n v="36436.984770000003"/>
    <n v="0"/>
    <x v="19"/>
  </r>
  <r>
    <d v="2014-12-31T00:00:00"/>
    <d v="2019-09-30T00:00:00"/>
    <x v="1"/>
    <n v="36436.984770000003"/>
    <n v="0"/>
    <x v="19"/>
  </r>
  <r>
    <d v="2014-12-31T00:00:00"/>
    <d v="2019-12-31T00:00:00"/>
    <x v="0"/>
    <n v="36436.984770000003"/>
    <n v="0"/>
    <x v="1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0">
  <r>
    <d v="2010-03-31T00:00:00"/>
    <d v="2015-03-31T00:00:00"/>
    <x v="0"/>
    <n v="9455.5829360000007"/>
    <n v="0"/>
    <x v="0"/>
  </r>
  <r>
    <d v="2010-06-30T00:00:00"/>
    <d v="2015-03-31T00:00:00"/>
    <x v="1"/>
    <n v="5807.6562590000003"/>
    <n v="0"/>
    <x v="1"/>
  </r>
  <r>
    <d v="2010-06-30T00:00:00"/>
    <d v="2015-06-30T00:00:00"/>
    <x v="0"/>
    <n v="5802.7270680000001"/>
    <n v="0"/>
    <x v="1"/>
  </r>
  <r>
    <d v="2010-09-30T00:00:00"/>
    <d v="2015-03-31T00:00:00"/>
    <x v="2"/>
    <n v="7821.9049610000002"/>
    <n v="0"/>
    <x v="2"/>
  </r>
  <r>
    <d v="2010-09-30T00:00:00"/>
    <d v="2015-06-30T00:00:00"/>
    <x v="1"/>
    <n v="7821.4050669999997"/>
    <n v="0"/>
    <x v="2"/>
  </r>
  <r>
    <d v="2010-09-30T00:00:00"/>
    <d v="2015-09-30T00:00:00"/>
    <x v="0"/>
    <n v="8155.8343850000001"/>
    <n v="0"/>
    <x v="2"/>
  </r>
  <r>
    <d v="2010-12-31T00:00:00"/>
    <d v="2015-03-31T00:00:00"/>
    <x v="3"/>
    <n v="5920.8183879999997"/>
    <n v="0"/>
    <x v="3"/>
  </r>
  <r>
    <d v="2010-12-31T00:00:00"/>
    <d v="2015-06-30T00:00:00"/>
    <x v="2"/>
    <n v="6165.9409999999998"/>
    <n v="0"/>
    <x v="3"/>
  </r>
  <r>
    <d v="2010-12-31T00:00:00"/>
    <d v="2015-09-30T00:00:00"/>
    <x v="1"/>
    <n v="6196.0276640000002"/>
    <n v="0"/>
    <x v="3"/>
  </r>
  <r>
    <d v="2010-12-31T00:00:00"/>
    <d v="2015-12-31T00:00:00"/>
    <x v="0"/>
    <n v="6026.0170850000004"/>
    <n v="0"/>
    <x v="3"/>
  </r>
  <r>
    <d v="2011-03-31T00:00:00"/>
    <d v="2015-03-31T00:00:00"/>
    <x v="4"/>
    <n v="8708.8686620000008"/>
    <n v="0"/>
    <x v="4"/>
  </r>
  <r>
    <d v="2011-03-31T00:00:00"/>
    <d v="2015-06-30T00:00:00"/>
    <x v="3"/>
    <n v="9367.636407"/>
    <n v="0"/>
    <x v="4"/>
  </r>
  <r>
    <d v="2011-03-31T00:00:00"/>
    <d v="2015-09-30T00:00:00"/>
    <x v="2"/>
    <n v="9670.7235120000005"/>
    <n v="0"/>
    <x v="4"/>
  </r>
  <r>
    <d v="2011-03-31T00:00:00"/>
    <d v="2015-12-31T00:00:00"/>
    <x v="1"/>
    <n v="10318.90047"/>
    <n v="0"/>
    <x v="4"/>
  </r>
  <r>
    <d v="2011-03-31T00:00:00"/>
    <d v="2016-03-31T00:00:00"/>
    <x v="0"/>
    <n v="10078.683800000001"/>
    <n v="0"/>
    <x v="4"/>
  </r>
  <r>
    <d v="2011-06-30T00:00:00"/>
    <d v="2015-03-31T00:00:00"/>
    <x v="5"/>
    <n v="7050.8121199999996"/>
    <n v="0"/>
    <x v="5"/>
  </r>
  <r>
    <d v="2011-06-30T00:00:00"/>
    <d v="2015-06-30T00:00:00"/>
    <x v="4"/>
    <n v="6987.5929230000002"/>
    <n v="0"/>
    <x v="5"/>
  </r>
  <r>
    <d v="2011-06-30T00:00:00"/>
    <d v="2015-09-30T00:00:00"/>
    <x v="3"/>
    <n v="7024.7594870000003"/>
    <n v="0"/>
    <x v="5"/>
  </r>
  <r>
    <d v="2011-06-30T00:00:00"/>
    <d v="2015-12-31T00:00:00"/>
    <x v="2"/>
    <n v="7182.1564529999996"/>
    <n v="0"/>
    <x v="5"/>
  </r>
  <r>
    <d v="2011-06-30T00:00:00"/>
    <d v="2016-03-31T00:00:00"/>
    <x v="1"/>
    <n v="6672.3339720000004"/>
    <n v="0"/>
    <x v="5"/>
  </r>
  <r>
    <d v="2011-06-30T00:00:00"/>
    <d v="2016-06-30T00:00:00"/>
    <x v="0"/>
    <n v="6675.7053530000003"/>
    <n v="0"/>
    <x v="5"/>
  </r>
  <r>
    <d v="2011-09-30T00:00:00"/>
    <d v="2015-03-31T00:00:00"/>
    <x v="6"/>
    <n v="8560.5976740000006"/>
    <n v="0"/>
    <x v="6"/>
  </r>
  <r>
    <d v="2011-09-30T00:00:00"/>
    <d v="2015-06-30T00:00:00"/>
    <x v="5"/>
    <n v="8368.7544999999991"/>
    <n v="0"/>
    <x v="6"/>
  </r>
  <r>
    <d v="2011-09-30T00:00:00"/>
    <d v="2015-09-30T00:00:00"/>
    <x v="4"/>
    <n v="8322.8107220000002"/>
    <n v="0"/>
    <x v="6"/>
  </r>
  <r>
    <d v="2011-09-30T00:00:00"/>
    <d v="2015-12-31T00:00:00"/>
    <x v="3"/>
    <n v="8495.471904"/>
    <n v="0"/>
    <x v="6"/>
  </r>
  <r>
    <d v="2011-09-30T00:00:00"/>
    <d v="2016-03-31T00:00:00"/>
    <x v="2"/>
    <n v="8286.0975510000007"/>
    <n v="0"/>
    <x v="6"/>
  </r>
  <r>
    <d v="2011-09-30T00:00:00"/>
    <d v="2016-06-30T00:00:00"/>
    <x v="1"/>
    <n v="8254.9762210000008"/>
    <n v="0"/>
    <x v="6"/>
  </r>
  <r>
    <d v="2011-09-30T00:00:00"/>
    <d v="2016-09-30T00:00:00"/>
    <x v="0"/>
    <n v="8536.2656079999997"/>
    <n v="0"/>
    <x v="6"/>
  </r>
  <r>
    <d v="2011-12-31T00:00:00"/>
    <d v="2015-03-31T00:00:00"/>
    <x v="7"/>
    <n v="9206.9378130000005"/>
    <n v="0"/>
    <x v="7"/>
  </r>
  <r>
    <d v="2011-12-31T00:00:00"/>
    <d v="2015-06-30T00:00:00"/>
    <x v="6"/>
    <n v="9792.1862120000005"/>
    <n v="0"/>
    <x v="7"/>
  </r>
  <r>
    <d v="2011-12-31T00:00:00"/>
    <d v="2015-09-30T00:00:00"/>
    <x v="5"/>
    <n v="9953.2451949999995"/>
    <n v="0"/>
    <x v="7"/>
  </r>
  <r>
    <d v="2011-12-31T00:00:00"/>
    <d v="2015-12-31T00:00:00"/>
    <x v="4"/>
    <n v="10001.548940000001"/>
    <n v="0"/>
    <x v="7"/>
  </r>
  <r>
    <d v="2011-12-31T00:00:00"/>
    <d v="2016-03-31T00:00:00"/>
    <x v="3"/>
    <n v="9407.1978130000007"/>
    <n v="0"/>
    <x v="7"/>
  </r>
  <r>
    <d v="2011-12-31T00:00:00"/>
    <d v="2016-06-30T00:00:00"/>
    <x v="2"/>
    <n v="9451.7697879999996"/>
    <n v="0"/>
    <x v="7"/>
  </r>
  <r>
    <d v="2011-12-31T00:00:00"/>
    <d v="2016-09-30T00:00:00"/>
    <x v="1"/>
    <n v="8273.2281779999994"/>
    <n v="0"/>
    <x v="7"/>
  </r>
  <r>
    <d v="2011-12-31T00:00:00"/>
    <d v="2016-12-31T00:00:00"/>
    <x v="0"/>
    <n v="8370.9517099999994"/>
    <n v="0"/>
    <x v="7"/>
  </r>
  <r>
    <d v="2012-03-31T00:00:00"/>
    <d v="2015-03-31T00:00:00"/>
    <x v="8"/>
    <n v="2504.5055510000002"/>
    <n v="0"/>
    <x v="8"/>
  </r>
  <r>
    <d v="2012-03-31T00:00:00"/>
    <d v="2015-06-30T00:00:00"/>
    <x v="7"/>
    <n v="2677.771256"/>
    <n v="0"/>
    <x v="8"/>
  </r>
  <r>
    <d v="2012-03-31T00:00:00"/>
    <d v="2015-09-30T00:00:00"/>
    <x v="6"/>
    <n v="2594.3935289999999"/>
    <n v="0"/>
    <x v="8"/>
  </r>
  <r>
    <d v="2012-03-31T00:00:00"/>
    <d v="2015-12-31T00:00:00"/>
    <x v="5"/>
    <n v="2648.1961110000002"/>
    <n v="0"/>
    <x v="8"/>
  </r>
  <r>
    <d v="2012-03-31T00:00:00"/>
    <d v="2016-03-31T00:00:00"/>
    <x v="4"/>
    <n v="2660.8329749999998"/>
    <n v="0"/>
    <x v="8"/>
  </r>
  <r>
    <d v="2012-03-31T00:00:00"/>
    <d v="2016-06-30T00:00:00"/>
    <x v="3"/>
    <n v="2521.0485659999999"/>
    <n v="0"/>
    <x v="8"/>
  </r>
  <r>
    <d v="2012-03-31T00:00:00"/>
    <d v="2016-09-30T00:00:00"/>
    <x v="2"/>
    <n v="2529.3956389999998"/>
    <n v="0"/>
    <x v="8"/>
  </r>
  <r>
    <d v="2012-03-31T00:00:00"/>
    <d v="2016-12-31T00:00:00"/>
    <x v="1"/>
    <n v="2370.2316040000001"/>
    <n v="0"/>
    <x v="8"/>
  </r>
  <r>
    <d v="2012-03-31T00:00:00"/>
    <d v="2017-03-31T00:00:00"/>
    <x v="0"/>
    <n v="2370.2316040000001"/>
    <n v="0"/>
    <x v="8"/>
  </r>
  <r>
    <d v="2012-06-30T00:00:00"/>
    <d v="2015-03-31T00:00:00"/>
    <x v="9"/>
    <n v="4719.5838999999996"/>
    <n v="0"/>
    <x v="9"/>
  </r>
  <r>
    <d v="2012-06-30T00:00:00"/>
    <d v="2015-06-30T00:00:00"/>
    <x v="8"/>
    <n v="5136.5306609999998"/>
    <n v="0"/>
    <x v="9"/>
  </r>
  <r>
    <d v="2012-06-30T00:00:00"/>
    <d v="2015-09-30T00:00:00"/>
    <x v="7"/>
    <n v="5207.5156580000003"/>
    <n v="0"/>
    <x v="9"/>
  </r>
  <r>
    <d v="2012-06-30T00:00:00"/>
    <d v="2015-12-31T00:00:00"/>
    <x v="6"/>
    <n v="5588.9582950000004"/>
    <n v="0"/>
    <x v="9"/>
  </r>
  <r>
    <d v="2012-06-30T00:00:00"/>
    <d v="2016-03-31T00:00:00"/>
    <x v="5"/>
    <n v="6253.5387650000002"/>
    <n v="0"/>
    <x v="9"/>
  </r>
  <r>
    <d v="2012-06-30T00:00:00"/>
    <d v="2016-06-30T00:00:00"/>
    <x v="4"/>
    <n v="6507.1014530000002"/>
    <n v="0"/>
    <x v="9"/>
  </r>
  <r>
    <d v="2012-06-30T00:00:00"/>
    <d v="2016-09-30T00:00:00"/>
    <x v="3"/>
    <n v="6507.1014530000002"/>
    <n v="0"/>
    <x v="9"/>
  </r>
  <r>
    <d v="2012-06-30T00:00:00"/>
    <d v="2016-12-31T00:00:00"/>
    <x v="2"/>
    <n v="6593.0484040000001"/>
    <n v="0"/>
    <x v="9"/>
  </r>
  <r>
    <d v="2012-06-30T00:00:00"/>
    <d v="2017-03-31T00:00:00"/>
    <x v="1"/>
    <n v="6603.6508139999996"/>
    <n v="0"/>
    <x v="9"/>
  </r>
  <r>
    <d v="2012-06-30T00:00:00"/>
    <d v="2017-06-30T00:00:00"/>
    <x v="0"/>
    <n v="6659.0344580000001"/>
    <n v="0"/>
    <x v="9"/>
  </r>
  <r>
    <d v="2012-09-30T00:00:00"/>
    <d v="2015-03-31T00:00:00"/>
    <x v="10"/>
    <n v="7024.7013589999997"/>
    <n v="0"/>
    <x v="10"/>
  </r>
  <r>
    <d v="2012-09-30T00:00:00"/>
    <d v="2015-06-30T00:00:00"/>
    <x v="9"/>
    <n v="7046.0921870000002"/>
    <n v="0"/>
    <x v="10"/>
  </r>
  <r>
    <d v="2012-09-30T00:00:00"/>
    <d v="2015-09-30T00:00:00"/>
    <x v="8"/>
    <n v="7394.1814080000004"/>
    <n v="0"/>
    <x v="10"/>
  </r>
  <r>
    <d v="2012-09-30T00:00:00"/>
    <d v="2015-12-31T00:00:00"/>
    <x v="7"/>
    <n v="10204.447920000001"/>
    <n v="0"/>
    <x v="10"/>
  </r>
  <r>
    <d v="2012-09-30T00:00:00"/>
    <d v="2016-03-31T00:00:00"/>
    <x v="6"/>
    <n v="9914.8928360000009"/>
    <n v="0"/>
    <x v="10"/>
  </r>
  <r>
    <d v="2012-09-30T00:00:00"/>
    <d v="2016-06-30T00:00:00"/>
    <x v="5"/>
    <n v="9643.3920789999993"/>
    <n v="0"/>
    <x v="10"/>
  </r>
  <r>
    <d v="2012-09-30T00:00:00"/>
    <d v="2016-09-30T00:00:00"/>
    <x v="4"/>
    <n v="9928.9712560000007"/>
    <n v="0"/>
    <x v="10"/>
  </r>
  <r>
    <d v="2012-09-30T00:00:00"/>
    <d v="2016-12-31T00:00:00"/>
    <x v="3"/>
    <n v="10268.887790000001"/>
    <n v="0"/>
    <x v="10"/>
  </r>
  <r>
    <d v="2012-09-30T00:00:00"/>
    <d v="2017-03-31T00:00:00"/>
    <x v="2"/>
    <n v="10221.3397"/>
    <n v="0"/>
    <x v="10"/>
  </r>
  <r>
    <d v="2012-09-30T00:00:00"/>
    <d v="2017-06-30T00:00:00"/>
    <x v="1"/>
    <n v="10808.436540000001"/>
    <n v="0"/>
    <x v="10"/>
  </r>
  <r>
    <d v="2012-09-30T00:00:00"/>
    <d v="2017-09-30T00:00:00"/>
    <x v="0"/>
    <n v="10913.053970000001"/>
    <n v="0"/>
    <x v="10"/>
  </r>
  <r>
    <d v="2012-12-31T00:00:00"/>
    <d v="2015-03-31T00:00:00"/>
    <x v="11"/>
    <n v="4983.9001289999997"/>
    <n v="0"/>
    <x v="11"/>
  </r>
  <r>
    <d v="2012-12-31T00:00:00"/>
    <d v="2015-06-30T00:00:00"/>
    <x v="10"/>
    <n v="4971.5539010000002"/>
    <n v="0"/>
    <x v="11"/>
  </r>
  <r>
    <d v="2012-12-31T00:00:00"/>
    <d v="2015-09-30T00:00:00"/>
    <x v="9"/>
    <n v="5328.3970859999999"/>
    <n v="0"/>
    <x v="11"/>
  </r>
  <r>
    <d v="2012-12-31T00:00:00"/>
    <d v="2015-12-31T00:00:00"/>
    <x v="8"/>
    <n v="5752.4818740000001"/>
    <n v="0"/>
    <x v="11"/>
  </r>
  <r>
    <d v="2012-12-31T00:00:00"/>
    <d v="2016-03-31T00:00:00"/>
    <x v="7"/>
    <n v="5802.3434280000001"/>
    <n v="0"/>
    <x v="11"/>
  </r>
  <r>
    <d v="2012-12-31T00:00:00"/>
    <d v="2016-06-30T00:00:00"/>
    <x v="6"/>
    <n v="5553.6169280000004"/>
    <n v="0"/>
    <x v="11"/>
  </r>
  <r>
    <d v="2012-12-31T00:00:00"/>
    <d v="2016-09-30T00:00:00"/>
    <x v="5"/>
    <n v="6082.8887860000004"/>
    <n v="0"/>
    <x v="11"/>
  </r>
  <r>
    <d v="2012-12-31T00:00:00"/>
    <d v="2016-12-31T00:00:00"/>
    <x v="4"/>
    <n v="6529.6432000000004"/>
    <n v="0"/>
    <x v="11"/>
  </r>
  <r>
    <d v="2012-12-31T00:00:00"/>
    <d v="2017-03-31T00:00:00"/>
    <x v="3"/>
    <n v="6522.7841850000004"/>
    <n v="0"/>
    <x v="11"/>
  </r>
  <r>
    <d v="2012-12-31T00:00:00"/>
    <d v="2017-06-30T00:00:00"/>
    <x v="2"/>
    <n v="6564.8683129999999"/>
    <n v="0"/>
    <x v="11"/>
  </r>
  <r>
    <d v="2012-12-31T00:00:00"/>
    <d v="2017-09-30T00:00:00"/>
    <x v="1"/>
    <n v="6569.7045010000002"/>
    <n v="0"/>
    <x v="11"/>
  </r>
  <r>
    <d v="2012-12-31T00:00:00"/>
    <d v="2017-12-31T00:00:00"/>
    <x v="0"/>
    <n v="6519.645313"/>
    <n v="0"/>
    <x v="11"/>
  </r>
  <r>
    <d v="2013-03-31T00:00:00"/>
    <d v="2015-03-31T00:00:00"/>
    <x v="12"/>
    <n v="4766.701849"/>
    <n v="0"/>
    <x v="12"/>
  </r>
  <r>
    <d v="2013-03-31T00:00:00"/>
    <d v="2015-06-30T00:00:00"/>
    <x v="11"/>
    <n v="5146.9121880000002"/>
    <n v="0"/>
    <x v="12"/>
  </r>
  <r>
    <d v="2013-03-31T00:00:00"/>
    <d v="2015-09-30T00:00:00"/>
    <x v="10"/>
    <n v="5977.1088170000003"/>
    <n v="0"/>
    <x v="12"/>
  </r>
  <r>
    <d v="2013-03-31T00:00:00"/>
    <d v="2015-12-31T00:00:00"/>
    <x v="9"/>
    <n v="5955.4157269999996"/>
    <n v="0"/>
    <x v="12"/>
  </r>
  <r>
    <d v="2013-03-31T00:00:00"/>
    <d v="2016-03-31T00:00:00"/>
    <x v="8"/>
    <n v="6004.4983769999999"/>
    <n v="0"/>
    <x v="12"/>
  </r>
  <r>
    <d v="2013-03-31T00:00:00"/>
    <d v="2016-06-30T00:00:00"/>
    <x v="7"/>
    <n v="6077.2969439999997"/>
    <n v="0"/>
    <x v="12"/>
  </r>
  <r>
    <d v="2013-03-31T00:00:00"/>
    <d v="2016-09-30T00:00:00"/>
    <x v="6"/>
    <n v="6227.9744010000004"/>
    <n v="0"/>
    <x v="12"/>
  </r>
  <r>
    <d v="2013-03-31T00:00:00"/>
    <d v="2016-12-31T00:00:00"/>
    <x v="5"/>
    <n v="6501.9281279999996"/>
    <n v="0"/>
    <x v="12"/>
  </r>
  <r>
    <d v="2013-03-31T00:00:00"/>
    <d v="2017-03-31T00:00:00"/>
    <x v="4"/>
    <n v="6590.2234200000003"/>
    <n v="0"/>
    <x v="12"/>
  </r>
  <r>
    <d v="2013-03-31T00:00:00"/>
    <d v="2017-06-30T00:00:00"/>
    <x v="3"/>
    <n v="6602.7091529999998"/>
    <n v="0"/>
    <x v="12"/>
  </r>
  <r>
    <d v="2013-03-31T00:00:00"/>
    <d v="2017-09-30T00:00:00"/>
    <x v="2"/>
    <n v="7606.7643850000004"/>
    <n v="0"/>
    <x v="12"/>
  </r>
  <r>
    <d v="2013-03-31T00:00:00"/>
    <d v="2017-12-31T00:00:00"/>
    <x v="1"/>
    <n v="7754.2564679999996"/>
    <n v="0"/>
    <x v="12"/>
  </r>
  <r>
    <d v="2013-03-31T00:00:00"/>
    <d v="2018-03-31T00:00:00"/>
    <x v="0"/>
    <n v="7754.2564679999996"/>
    <n v="0"/>
    <x v="12"/>
  </r>
  <r>
    <d v="2013-06-30T00:00:00"/>
    <d v="2015-03-31T00:00:00"/>
    <x v="13"/>
    <n v="10614.361279999999"/>
    <n v="0"/>
    <x v="13"/>
  </r>
  <r>
    <d v="2013-06-30T00:00:00"/>
    <d v="2015-06-30T00:00:00"/>
    <x v="12"/>
    <n v="11270.87369"/>
    <n v="0"/>
    <x v="13"/>
  </r>
  <r>
    <d v="2013-06-30T00:00:00"/>
    <d v="2015-09-30T00:00:00"/>
    <x v="11"/>
    <n v="11901.05445"/>
    <n v="0"/>
    <x v="13"/>
  </r>
  <r>
    <d v="2013-06-30T00:00:00"/>
    <d v="2015-12-31T00:00:00"/>
    <x v="10"/>
    <n v="11493.187169999999"/>
    <n v="0"/>
    <x v="13"/>
  </r>
  <r>
    <d v="2013-06-30T00:00:00"/>
    <d v="2016-03-31T00:00:00"/>
    <x v="9"/>
    <n v="11492.571019999999"/>
    <n v="0"/>
    <x v="13"/>
  </r>
  <r>
    <d v="2013-06-30T00:00:00"/>
    <d v="2016-06-30T00:00:00"/>
    <x v="8"/>
    <n v="11778.18507"/>
    <n v="0"/>
    <x v="13"/>
  </r>
  <r>
    <d v="2013-06-30T00:00:00"/>
    <d v="2016-09-30T00:00:00"/>
    <x v="7"/>
    <n v="11795.65812"/>
    <n v="0"/>
    <x v="13"/>
  </r>
  <r>
    <d v="2013-06-30T00:00:00"/>
    <d v="2016-12-31T00:00:00"/>
    <x v="6"/>
    <n v="11238.04342"/>
    <n v="0"/>
    <x v="13"/>
  </r>
  <r>
    <d v="2013-06-30T00:00:00"/>
    <d v="2017-03-31T00:00:00"/>
    <x v="5"/>
    <n v="11358.48308"/>
    <n v="0"/>
    <x v="13"/>
  </r>
  <r>
    <d v="2013-06-30T00:00:00"/>
    <d v="2017-06-30T00:00:00"/>
    <x v="4"/>
    <n v="11098.735650000001"/>
    <n v="0"/>
    <x v="13"/>
  </r>
  <r>
    <d v="2013-06-30T00:00:00"/>
    <d v="2017-09-30T00:00:00"/>
    <x v="3"/>
    <n v="11107.071099999999"/>
    <n v="0"/>
    <x v="13"/>
  </r>
  <r>
    <d v="2013-06-30T00:00:00"/>
    <d v="2017-12-31T00:00:00"/>
    <x v="2"/>
    <n v="11450.114869999999"/>
    <n v="0"/>
    <x v="13"/>
  </r>
  <r>
    <d v="2013-06-30T00:00:00"/>
    <d v="2018-03-31T00:00:00"/>
    <x v="1"/>
    <n v="11413.3087"/>
    <n v="0"/>
    <x v="13"/>
  </r>
  <r>
    <d v="2013-06-30T00:00:00"/>
    <d v="2018-06-30T00:00:00"/>
    <x v="0"/>
    <n v="11607.407209999999"/>
    <n v="0"/>
    <x v="13"/>
  </r>
  <r>
    <d v="2013-09-30T00:00:00"/>
    <d v="2015-03-31T00:00:00"/>
    <x v="14"/>
    <n v="4882.154192"/>
    <n v="0"/>
    <x v="14"/>
  </r>
  <r>
    <d v="2013-09-30T00:00:00"/>
    <d v="2015-06-30T00:00:00"/>
    <x v="13"/>
    <n v="4970.0774689999998"/>
    <n v="0"/>
    <x v="14"/>
  </r>
  <r>
    <d v="2013-09-30T00:00:00"/>
    <d v="2015-09-30T00:00:00"/>
    <x v="12"/>
    <n v="4877.0738700000002"/>
    <n v="0"/>
    <x v="14"/>
  </r>
  <r>
    <d v="2013-09-30T00:00:00"/>
    <d v="2015-12-31T00:00:00"/>
    <x v="11"/>
    <n v="5969.3778929999999"/>
    <n v="0"/>
    <x v="14"/>
  </r>
  <r>
    <d v="2013-09-30T00:00:00"/>
    <d v="2016-03-31T00:00:00"/>
    <x v="10"/>
    <n v="6023.1572239999996"/>
    <n v="0"/>
    <x v="14"/>
  </r>
  <r>
    <d v="2013-09-30T00:00:00"/>
    <d v="2016-06-30T00:00:00"/>
    <x v="9"/>
    <n v="6167.7196940000003"/>
    <n v="0"/>
    <x v="14"/>
  </r>
  <r>
    <d v="2013-09-30T00:00:00"/>
    <d v="2016-09-30T00:00:00"/>
    <x v="8"/>
    <n v="6383.5577970000004"/>
    <n v="0"/>
    <x v="14"/>
  </r>
  <r>
    <d v="2013-09-30T00:00:00"/>
    <d v="2016-12-31T00:00:00"/>
    <x v="7"/>
    <n v="7814.5111749999996"/>
    <n v="0"/>
    <x v="14"/>
  </r>
  <r>
    <d v="2013-09-30T00:00:00"/>
    <d v="2017-03-31T00:00:00"/>
    <x v="6"/>
    <n v="7804.3621569999996"/>
    <n v="0"/>
    <x v="14"/>
  </r>
  <r>
    <d v="2013-09-30T00:00:00"/>
    <d v="2017-06-30T00:00:00"/>
    <x v="5"/>
    <n v="7262.1627989999997"/>
    <n v="0"/>
    <x v="14"/>
  </r>
  <r>
    <d v="2013-09-30T00:00:00"/>
    <d v="2017-09-30T00:00:00"/>
    <x v="4"/>
    <n v="8047.0783009999996"/>
    <n v="0"/>
    <x v="14"/>
  </r>
  <r>
    <d v="2013-09-30T00:00:00"/>
    <d v="2017-12-31T00:00:00"/>
    <x v="3"/>
    <n v="8041.8468480000001"/>
    <n v="0"/>
    <x v="14"/>
  </r>
  <r>
    <d v="2013-09-30T00:00:00"/>
    <d v="2018-03-31T00:00:00"/>
    <x v="2"/>
    <n v="8288.3180119999997"/>
    <n v="0"/>
    <x v="14"/>
  </r>
  <r>
    <d v="2013-09-30T00:00:00"/>
    <d v="2018-06-30T00:00:00"/>
    <x v="1"/>
    <n v="8340.237271"/>
    <n v="0"/>
    <x v="14"/>
  </r>
  <r>
    <d v="2013-09-30T00:00:00"/>
    <d v="2018-09-30T00:00:00"/>
    <x v="0"/>
    <n v="8329.8092429999997"/>
    <n v="0"/>
    <x v="14"/>
  </r>
  <r>
    <d v="2013-12-31T00:00:00"/>
    <d v="2015-03-31T00:00:00"/>
    <x v="15"/>
    <n v="7356.6312049999997"/>
    <n v="0"/>
    <x v="15"/>
  </r>
  <r>
    <d v="2013-12-31T00:00:00"/>
    <d v="2015-06-30T00:00:00"/>
    <x v="14"/>
    <n v="7117.6933330000002"/>
    <n v="0"/>
    <x v="15"/>
  </r>
  <r>
    <d v="2013-12-31T00:00:00"/>
    <d v="2015-09-30T00:00:00"/>
    <x v="13"/>
    <n v="7671.2507560000004"/>
    <n v="0"/>
    <x v="15"/>
  </r>
  <r>
    <d v="2013-12-31T00:00:00"/>
    <d v="2015-12-31T00:00:00"/>
    <x v="12"/>
    <n v="7983.9056060000003"/>
    <n v="0"/>
    <x v="15"/>
  </r>
  <r>
    <d v="2013-12-31T00:00:00"/>
    <d v="2016-03-31T00:00:00"/>
    <x v="11"/>
    <n v="8775.8312540000006"/>
    <n v="0"/>
    <x v="15"/>
  </r>
  <r>
    <d v="2013-12-31T00:00:00"/>
    <d v="2016-06-30T00:00:00"/>
    <x v="10"/>
    <n v="9575.2785679999997"/>
    <n v="0"/>
    <x v="15"/>
  </r>
  <r>
    <d v="2013-12-31T00:00:00"/>
    <d v="2016-09-30T00:00:00"/>
    <x v="9"/>
    <n v="9614.8515989999996"/>
    <n v="0"/>
    <x v="15"/>
  </r>
  <r>
    <d v="2013-12-31T00:00:00"/>
    <d v="2016-12-31T00:00:00"/>
    <x v="8"/>
    <n v="9884.143521"/>
    <n v="0"/>
    <x v="15"/>
  </r>
  <r>
    <d v="2013-12-31T00:00:00"/>
    <d v="2017-03-31T00:00:00"/>
    <x v="7"/>
    <n v="9907.8826900000004"/>
    <n v="0"/>
    <x v="15"/>
  </r>
  <r>
    <d v="2013-12-31T00:00:00"/>
    <d v="2017-06-30T00:00:00"/>
    <x v="6"/>
    <n v="7871.1271159999997"/>
    <n v="0"/>
    <x v="15"/>
  </r>
  <r>
    <d v="2013-12-31T00:00:00"/>
    <d v="2017-09-30T00:00:00"/>
    <x v="5"/>
    <n v="8005.0290480000003"/>
    <n v="0"/>
    <x v="15"/>
  </r>
  <r>
    <d v="2013-12-31T00:00:00"/>
    <d v="2017-12-31T00:00:00"/>
    <x v="4"/>
    <n v="7982.185039"/>
    <n v="0"/>
    <x v="15"/>
  </r>
  <r>
    <d v="2013-12-31T00:00:00"/>
    <d v="2018-03-31T00:00:00"/>
    <x v="3"/>
    <n v="7897.8424000000005"/>
    <n v="0"/>
    <x v="15"/>
  </r>
  <r>
    <d v="2013-12-31T00:00:00"/>
    <d v="2018-06-30T00:00:00"/>
    <x v="2"/>
    <n v="7899.5978429999996"/>
    <n v="0"/>
    <x v="15"/>
  </r>
  <r>
    <d v="2013-12-31T00:00:00"/>
    <d v="2018-09-30T00:00:00"/>
    <x v="1"/>
    <n v="7894.4477690000003"/>
    <n v="0"/>
    <x v="15"/>
  </r>
  <r>
    <d v="2013-12-31T00:00:00"/>
    <d v="2018-12-31T00:00:00"/>
    <x v="0"/>
    <n v="7732.2378660000004"/>
    <n v="0"/>
    <x v="15"/>
  </r>
  <r>
    <d v="2014-03-31T00:00:00"/>
    <d v="2015-03-31T00:00:00"/>
    <x v="16"/>
    <n v="5070.7771160000002"/>
    <n v="0"/>
    <x v="16"/>
  </r>
  <r>
    <d v="2014-03-31T00:00:00"/>
    <d v="2015-06-30T00:00:00"/>
    <x v="15"/>
    <n v="5653.8399310000004"/>
    <n v="0"/>
    <x v="16"/>
  </r>
  <r>
    <d v="2014-03-31T00:00:00"/>
    <d v="2015-09-30T00:00:00"/>
    <x v="14"/>
    <n v="6389.2658929999998"/>
    <n v="0"/>
    <x v="16"/>
  </r>
  <r>
    <d v="2014-03-31T00:00:00"/>
    <d v="2015-12-31T00:00:00"/>
    <x v="13"/>
    <n v="7468.1308950000002"/>
    <n v="0"/>
    <x v="16"/>
  </r>
  <r>
    <d v="2014-03-31T00:00:00"/>
    <d v="2016-03-31T00:00:00"/>
    <x v="12"/>
    <n v="7458.2260120000001"/>
    <n v="0"/>
    <x v="16"/>
  </r>
  <r>
    <d v="2014-03-31T00:00:00"/>
    <d v="2016-06-30T00:00:00"/>
    <x v="11"/>
    <n v="7303.2936410000002"/>
    <n v="0"/>
    <x v="16"/>
  </r>
  <r>
    <d v="2014-03-31T00:00:00"/>
    <d v="2016-09-30T00:00:00"/>
    <x v="10"/>
    <n v="7229.9835540000004"/>
    <n v="0"/>
    <x v="16"/>
  </r>
  <r>
    <d v="2014-03-31T00:00:00"/>
    <d v="2016-12-31T00:00:00"/>
    <x v="9"/>
    <n v="7365.8269360000004"/>
    <n v="0"/>
    <x v="16"/>
  </r>
  <r>
    <d v="2014-03-31T00:00:00"/>
    <d v="2017-03-31T00:00:00"/>
    <x v="8"/>
    <n v="7498.2640609999999"/>
    <n v="0"/>
    <x v="16"/>
  </r>
  <r>
    <d v="2014-03-31T00:00:00"/>
    <d v="2017-06-30T00:00:00"/>
    <x v="7"/>
    <n v="8081.2454980000002"/>
    <n v="0"/>
    <x v="16"/>
  </r>
  <r>
    <d v="2014-03-31T00:00:00"/>
    <d v="2017-09-30T00:00:00"/>
    <x v="6"/>
    <n v="8312.6849550000006"/>
    <n v="0"/>
    <x v="16"/>
  </r>
  <r>
    <d v="2014-03-31T00:00:00"/>
    <d v="2017-12-31T00:00:00"/>
    <x v="5"/>
    <n v="8778.7027400000006"/>
    <n v="0"/>
    <x v="16"/>
  </r>
  <r>
    <d v="2014-03-31T00:00:00"/>
    <d v="2018-03-31T00:00:00"/>
    <x v="4"/>
    <n v="8854.4657970000007"/>
    <n v="0"/>
    <x v="16"/>
  </r>
  <r>
    <d v="2014-03-31T00:00:00"/>
    <d v="2018-06-30T00:00:00"/>
    <x v="3"/>
    <n v="9395.5839890000007"/>
    <n v="0"/>
    <x v="16"/>
  </r>
  <r>
    <d v="2014-03-31T00:00:00"/>
    <d v="2018-09-30T00:00:00"/>
    <x v="2"/>
    <n v="9567.4313889999994"/>
    <n v="0"/>
    <x v="16"/>
  </r>
  <r>
    <d v="2014-03-31T00:00:00"/>
    <d v="2018-12-31T00:00:00"/>
    <x v="1"/>
    <n v="10067.058349999999"/>
    <n v="0"/>
    <x v="16"/>
  </r>
  <r>
    <d v="2014-03-31T00:00:00"/>
    <d v="2019-03-31T00:00:00"/>
    <x v="0"/>
    <n v="10907.65976"/>
    <n v="0"/>
    <x v="16"/>
  </r>
  <r>
    <d v="2014-06-30T00:00:00"/>
    <d v="2015-03-31T00:00:00"/>
    <x v="17"/>
    <n v="10026.346020000001"/>
    <n v="0"/>
    <x v="17"/>
  </r>
  <r>
    <d v="2014-06-30T00:00:00"/>
    <d v="2015-06-30T00:00:00"/>
    <x v="16"/>
    <n v="10224.501819999999"/>
    <n v="0"/>
    <x v="17"/>
  </r>
  <r>
    <d v="2014-06-30T00:00:00"/>
    <d v="2015-09-30T00:00:00"/>
    <x v="15"/>
    <n v="10712.863719999999"/>
    <n v="0"/>
    <x v="17"/>
  </r>
  <r>
    <d v="2014-06-30T00:00:00"/>
    <d v="2015-12-31T00:00:00"/>
    <x v="14"/>
    <n v="11673.96291"/>
    <n v="0"/>
    <x v="17"/>
  </r>
  <r>
    <d v="2014-06-30T00:00:00"/>
    <d v="2016-03-31T00:00:00"/>
    <x v="13"/>
    <n v="11833.42921"/>
    <n v="0"/>
    <x v="17"/>
  </r>
  <r>
    <d v="2014-06-30T00:00:00"/>
    <d v="2016-06-30T00:00:00"/>
    <x v="12"/>
    <n v="11639.13306"/>
    <n v="0"/>
    <x v="17"/>
  </r>
  <r>
    <d v="2014-06-30T00:00:00"/>
    <d v="2016-09-30T00:00:00"/>
    <x v="11"/>
    <n v="12485.36119"/>
    <n v="0"/>
    <x v="17"/>
  </r>
  <r>
    <d v="2014-06-30T00:00:00"/>
    <d v="2016-12-31T00:00:00"/>
    <x v="10"/>
    <n v="12278.86995"/>
    <n v="0"/>
    <x v="17"/>
  </r>
  <r>
    <d v="2014-06-30T00:00:00"/>
    <d v="2017-03-31T00:00:00"/>
    <x v="9"/>
    <n v="12327.17369"/>
    <n v="0"/>
    <x v="17"/>
  </r>
  <r>
    <d v="2014-06-30T00:00:00"/>
    <d v="2017-06-30T00:00:00"/>
    <x v="8"/>
    <n v="11754.22502"/>
    <n v="0"/>
    <x v="17"/>
  </r>
  <r>
    <d v="2014-06-30T00:00:00"/>
    <d v="2017-09-30T00:00:00"/>
    <x v="7"/>
    <n v="11808.58562"/>
    <n v="0"/>
    <x v="17"/>
  </r>
  <r>
    <d v="2014-06-30T00:00:00"/>
    <d v="2017-12-31T00:00:00"/>
    <x v="6"/>
    <n v="11776.18549"/>
    <n v="0"/>
    <x v="17"/>
  </r>
  <r>
    <d v="2014-06-30T00:00:00"/>
    <d v="2018-03-31T00:00:00"/>
    <x v="5"/>
    <n v="11853.77375"/>
    <n v="0"/>
    <x v="17"/>
  </r>
  <r>
    <d v="2014-06-30T00:00:00"/>
    <d v="2018-06-30T00:00:00"/>
    <x v="4"/>
    <n v="11686.86716"/>
    <n v="0"/>
    <x v="17"/>
  </r>
  <r>
    <d v="2014-06-30T00:00:00"/>
    <d v="2018-09-30T00:00:00"/>
    <x v="3"/>
    <n v="11708.781139999999"/>
    <n v="0"/>
    <x v="17"/>
  </r>
  <r>
    <d v="2014-06-30T00:00:00"/>
    <d v="2018-12-31T00:00:00"/>
    <x v="2"/>
    <n v="11364.818950000001"/>
    <n v="0"/>
    <x v="17"/>
  </r>
  <r>
    <d v="2014-06-30T00:00:00"/>
    <d v="2019-03-31T00:00:00"/>
    <x v="1"/>
    <n v="11469.494500000001"/>
    <n v="0"/>
    <x v="17"/>
  </r>
  <r>
    <d v="2014-06-30T00:00:00"/>
    <d v="2019-06-30T00:00:00"/>
    <x v="0"/>
    <n v="10940.32727"/>
    <n v="0"/>
    <x v="17"/>
  </r>
  <r>
    <d v="2014-09-30T00:00:00"/>
    <d v="2015-03-31T00:00:00"/>
    <x v="18"/>
    <n v="6178.1244710000001"/>
    <n v="0"/>
    <x v="18"/>
  </r>
  <r>
    <d v="2014-09-30T00:00:00"/>
    <d v="2015-06-30T00:00:00"/>
    <x v="17"/>
    <n v="8651.0204240000003"/>
    <n v="0"/>
    <x v="18"/>
  </r>
  <r>
    <d v="2014-09-30T00:00:00"/>
    <d v="2015-09-30T00:00:00"/>
    <x v="16"/>
    <n v="10214.28305"/>
    <n v="0"/>
    <x v="18"/>
  </r>
  <r>
    <d v="2014-09-30T00:00:00"/>
    <d v="2015-12-31T00:00:00"/>
    <x v="15"/>
    <n v="11282.7084"/>
    <n v="0"/>
    <x v="18"/>
  </r>
  <r>
    <d v="2014-09-30T00:00:00"/>
    <d v="2016-03-31T00:00:00"/>
    <x v="14"/>
    <n v="11203.480949999999"/>
    <n v="0"/>
    <x v="18"/>
  </r>
  <r>
    <d v="2014-09-30T00:00:00"/>
    <d v="2016-06-30T00:00:00"/>
    <x v="13"/>
    <n v="11551.5818"/>
    <n v="0"/>
    <x v="18"/>
  </r>
  <r>
    <d v="2014-09-30T00:00:00"/>
    <d v="2016-09-30T00:00:00"/>
    <x v="12"/>
    <n v="12697.200140000001"/>
    <n v="0"/>
    <x v="18"/>
  </r>
  <r>
    <d v="2014-09-30T00:00:00"/>
    <d v="2016-12-31T00:00:00"/>
    <x v="11"/>
    <n v="12468.062519999999"/>
    <n v="0"/>
    <x v="18"/>
  </r>
  <r>
    <d v="2014-09-30T00:00:00"/>
    <d v="2017-03-31T00:00:00"/>
    <x v="10"/>
    <n v="12828.079449999999"/>
    <n v="0"/>
    <x v="18"/>
  </r>
  <r>
    <d v="2014-09-30T00:00:00"/>
    <d v="2017-06-30T00:00:00"/>
    <x v="9"/>
    <n v="14162.85548"/>
    <n v="0"/>
    <x v="18"/>
  </r>
  <r>
    <d v="2014-09-30T00:00:00"/>
    <d v="2017-09-30T00:00:00"/>
    <x v="8"/>
    <n v="13961.607319999999"/>
    <n v="0"/>
    <x v="18"/>
  </r>
  <r>
    <d v="2014-09-30T00:00:00"/>
    <d v="2017-12-31T00:00:00"/>
    <x v="7"/>
    <n v="14113.86584"/>
    <n v="0"/>
    <x v="18"/>
  </r>
  <r>
    <d v="2014-09-30T00:00:00"/>
    <d v="2018-03-31T00:00:00"/>
    <x v="6"/>
    <n v="14931.727860000001"/>
    <n v="0"/>
    <x v="18"/>
  </r>
  <r>
    <d v="2014-09-30T00:00:00"/>
    <d v="2018-06-30T00:00:00"/>
    <x v="5"/>
    <n v="16580.937440000002"/>
    <n v="0"/>
    <x v="18"/>
  </r>
  <r>
    <d v="2014-09-30T00:00:00"/>
    <d v="2018-09-30T00:00:00"/>
    <x v="4"/>
    <n v="16279.29189"/>
    <n v="0"/>
    <x v="18"/>
  </r>
  <r>
    <d v="2014-09-30T00:00:00"/>
    <d v="2018-12-31T00:00:00"/>
    <x v="3"/>
    <n v="15667.746719999999"/>
    <n v="0"/>
    <x v="18"/>
  </r>
  <r>
    <d v="2014-09-30T00:00:00"/>
    <d v="2019-03-31T00:00:00"/>
    <x v="2"/>
    <n v="15625.058069999999"/>
    <n v="0"/>
    <x v="18"/>
  </r>
  <r>
    <d v="2014-09-30T00:00:00"/>
    <d v="2019-06-30T00:00:00"/>
    <x v="1"/>
    <n v="17347.31035"/>
    <n v="0"/>
    <x v="18"/>
  </r>
  <r>
    <d v="2014-09-30T00:00:00"/>
    <d v="2019-09-30T00:00:00"/>
    <x v="0"/>
    <n v="17165.337179999999"/>
    <n v="0"/>
    <x v="18"/>
  </r>
  <r>
    <d v="2014-12-31T00:00:00"/>
    <d v="2015-03-31T00:00:00"/>
    <x v="19"/>
    <n v="4341.6172729999998"/>
    <n v="0"/>
    <x v="19"/>
  </r>
  <r>
    <d v="2014-12-31T00:00:00"/>
    <d v="2015-06-30T00:00:00"/>
    <x v="18"/>
    <n v="4786.5464920000004"/>
    <n v="0"/>
    <x v="19"/>
  </r>
  <r>
    <d v="2014-12-31T00:00:00"/>
    <d v="2015-09-30T00:00:00"/>
    <x v="17"/>
    <n v="6309.5153060000002"/>
    <n v="0"/>
    <x v="19"/>
  </r>
  <r>
    <d v="2014-12-31T00:00:00"/>
    <d v="2015-12-31T00:00:00"/>
    <x v="16"/>
    <n v="7942.6352589999997"/>
    <n v="0"/>
    <x v="19"/>
  </r>
  <r>
    <d v="2014-12-31T00:00:00"/>
    <d v="2016-03-31T00:00:00"/>
    <x v="15"/>
    <n v="8481.9515059999994"/>
    <n v="0"/>
    <x v="19"/>
  </r>
  <r>
    <d v="2014-12-31T00:00:00"/>
    <d v="2016-06-30T00:00:00"/>
    <x v="14"/>
    <n v="8669.7722740000008"/>
    <n v="0"/>
    <x v="19"/>
  </r>
  <r>
    <d v="2014-12-31T00:00:00"/>
    <d v="2016-09-30T00:00:00"/>
    <x v="13"/>
    <n v="8747.3489019999997"/>
    <n v="0"/>
    <x v="19"/>
  </r>
  <r>
    <d v="2014-12-31T00:00:00"/>
    <d v="2016-12-31T00:00:00"/>
    <x v="12"/>
    <n v="9149.7289739999997"/>
    <n v="0"/>
    <x v="19"/>
  </r>
  <r>
    <d v="2014-12-31T00:00:00"/>
    <d v="2017-03-31T00:00:00"/>
    <x v="11"/>
    <n v="9373.8676479999995"/>
    <n v="0"/>
    <x v="19"/>
  </r>
  <r>
    <d v="2014-12-31T00:00:00"/>
    <d v="2017-06-30T00:00:00"/>
    <x v="10"/>
    <n v="9823.1680359999991"/>
    <n v="0"/>
    <x v="19"/>
  </r>
  <r>
    <d v="2014-12-31T00:00:00"/>
    <d v="2017-09-30T00:00:00"/>
    <x v="9"/>
    <n v="10711.747670000001"/>
    <n v="0"/>
    <x v="19"/>
  </r>
  <r>
    <d v="2014-12-31T00:00:00"/>
    <d v="2017-12-31T00:00:00"/>
    <x v="8"/>
    <n v="11521.553260000001"/>
    <n v="0"/>
    <x v="19"/>
  </r>
  <r>
    <d v="2014-12-31T00:00:00"/>
    <d v="2018-03-31T00:00:00"/>
    <x v="7"/>
    <n v="11241.589180000001"/>
    <n v="0"/>
    <x v="19"/>
  </r>
  <r>
    <d v="2014-12-31T00:00:00"/>
    <d v="2018-06-30T00:00:00"/>
    <x v="6"/>
    <n v="12279.20709"/>
    <n v="0"/>
    <x v="19"/>
  </r>
  <r>
    <d v="2014-12-31T00:00:00"/>
    <d v="2018-09-30T00:00:00"/>
    <x v="5"/>
    <n v="13806.30294"/>
    <n v="0"/>
    <x v="19"/>
  </r>
  <r>
    <d v="2014-12-31T00:00:00"/>
    <d v="2018-12-31T00:00:00"/>
    <x v="4"/>
    <n v="13720.937260000001"/>
    <n v="0"/>
    <x v="19"/>
  </r>
  <r>
    <d v="2014-12-31T00:00:00"/>
    <d v="2019-03-31T00:00:00"/>
    <x v="3"/>
    <n v="13857.64092"/>
    <n v="0"/>
    <x v="19"/>
  </r>
  <r>
    <d v="2014-12-31T00:00:00"/>
    <d v="2019-06-30T00:00:00"/>
    <x v="2"/>
    <n v="14243.54773"/>
    <n v="0"/>
    <x v="19"/>
  </r>
  <r>
    <d v="2014-12-31T00:00:00"/>
    <d v="2019-09-30T00:00:00"/>
    <x v="1"/>
    <n v="16558.00043"/>
    <n v="0"/>
    <x v="19"/>
  </r>
  <r>
    <d v="2014-12-31T00:00:00"/>
    <d v="2019-12-31T00:00:00"/>
    <x v="0"/>
    <n v="16405.614030000001"/>
    <n v="0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3:U24" firstHeaderRow="1" firstDataRow="2" firstDataCol="1"/>
  <pivotFields count="6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0"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Fields count="1">
    <field x="2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 of claim" fld="3" baseField="0" baseItem="0" numFmtId="164"/>
  </dataFields>
  <formats count="1">
    <format dxfId="5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3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3:U24" firstHeaderRow="1" firstDataRow="2" firstDataCol="1"/>
  <pivotFields count="6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0"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Fields count="1">
    <field x="2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 of claim" fld="3" baseField="0" baseItem="0" numFmtId="164"/>
  </dataFields>
  <formats count="1">
    <format dxfId="5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1:U22" firstHeaderRow="1" firstDataRow="2" firstDataCol="1"/>
  <pivotFields count="8">
    <pivotField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sd="0" x="0"/>
        <item sd="0" x="1"/>
        <item sd="0" x="2"/>
        <item sd="0" x="3"/>
        <item sd="0" x="4"/>
        <item sd="0" x="5"/>
        <item sd="0" x="6"/>
        <item sd="0"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Fields count="1">
    <field x="2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 of claim" fld="3" baseField="0" baseItem="0" numFmtId="164"/>
  </dataFields>
  <formats count="1">
    <format dxfId="3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2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B30:C50" firstHeaderRow="1" firstDataRow="1" firstDataCol="1"/>
  <pivotFields count="8">
    <pivotField numFmtId="14" showAll="0" defaultSubtotal="0"/>
    <pivotField numFmtId="14" showAll="0" defaultSubtotal="0"/>
    <pivotField showAll="0" defaultSubtotal="0"/>
    <pivotField showAll="0" defaultSubtotal="0"/>
    <pivotField dataField="1" showAll="0" defaultSubtotal="0"/>
    <pivotField axis="axisRow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showAll="0" defaultSubtotal="0"/>
    <pivotField showAll="0" defaultSubtotal="0"/>
  </pivotFields>
  <rowFields count="1">
    <field x="5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dataFields count="1">
    <dataField name="Min of premium" fld="4" subtotal="min" baseField="5" baseItem="0" numFmtId="164"/>
  </dataFields>
  <formats count="12">
    <format dxfId="51">
      <pivotArea outline="0" collapsedLevelsAreSubtotals="1" fieldPosition="0"/>
    </format>
    <format dxfId="50">
      <pivotArea field="5" type="button" dataOnly="0" labelOnly="1" outline="0" axis="axisRow" fieldPosition="0"/>
    </format>
    <format dxfId="49">
      <pivotArea dataOnly="0" labelOnly="1" outline="0" axis="axisValues" fieldPosition="0"/>
    </format>
    <format dxfId="48">
      <pivotArea field="5" type="button" dataOnly="0" labelOnly="1" outline="0" axis="axisRow" fieldPosition="0"/>
    </format>
    <format dxfId="47">
      <pivotArea dataOnly="0" labelOnly="1" outline="0" axis="axisValues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5" type="button" dataOnly="0" labelOnly="1" outline="0" axis="axisRow" fieldPosition="0"/>
    </format>
    <format dxfId="43">
      <pivotArea dataOnly="0" labelOnly="1" fieldPosition="0">
        <references count="1">
          <reference field="5" count="0"/>
        </references>
      </pivotArea>
    </format>
    <format dxfId="42">
      <pivotArea dataOnly="0" labelOnly="1" outline="0" axis="axisValues" fieldPosition="0"/>
    </format>
    <format dxfId="41">
      <pivotArea field="5" type="button" dataOnly="0" labelOnly="1" outline="0" axis="axisRow" fieldPosition="0"/>
    </format>
    <format dxfId="4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2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B30:C50" firstHeaderRow="1" firstDataRow="1" firstDataCol="1"/>
  <pivotFields count="10">
    <pivotField numFmtId="14" showAll="0" defaultSubtotal="0"/>
    <pivotField numFmtId="14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/>
    <pivotField dataField="1" showAll="0" defaultSubtotal="0"/>
    <pivotField axis="axisRow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8">
        <item x="0"/>
        <item x="1"/>
        <item x="2"/>
        <item x="3"/>
        <item x="4"/>
        <item x="5"/>
        <item x="6"/>
        <item x="7"/>
      </items>
    </pivotField>
  </pivotFields>
  <rowFields count="1">
    <field x="5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dataFields count="1">
    <dataField name="Min of premium" fld="4" subtotal="min" baseField="5" baseItem="0" numFmtId="164"/>
  </dataFields>
  <formats count="12">
    <format dxfId="37">
      <pivotArea outline="0" collapsedLevelsAreSubtotals="1" fieldPosition="0"/>
    </format>
    <format dxfId="36">
      <pivotArea field="5" type="button" dataOnly="0" labelOnly="1" outline="0" axis="axisRow" fieldPosition="0"/>
    </format>
    <format dxfId="35">
      <pivotArea dataOnly="0" labelOnly="1" outline="0" axis="axisValues" fieldPosition="0"/>
    </format>
    <format dxfId="34">
      <pivotArea field="5" type="button" dataOnly="0" labelOnly="1" outline="0" axis="axisRow" fieldPosition="0"/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5" type="button" dataOnly="0" labelOnly="1" outline="0" axis="axisRow" fieldPosition="0"/>
    </format>
    <format dxfId="29">
      <pivotArea dataOnly="0" labelOnly="1" fieldPosition="0">
        <references count="1">
          <reference field="5" count="0"/>
        </references>
      </pivotArea>
    </format>
    <format dxfId="28">
      <pivotArea dataOnly="0" labelOnly="1" outline="0" axis="axisValues" fieldPosition="0"/>
    </format>
    <format dxfId="27">
      <pivotArea field="5" type="button" dataOnly="0" labelOnly="1" outline="0" axis="axisRow" fieldPosition="0"/>
    </format>
    <format dxfId="2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PivotTable3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1:U22" firstHeaderRow="1" firstDataRow="2" firstDataCol="1"/>
  <pivotFields count="10">
    <pivotField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sd="0" x="0"/>
        <item sd="0" x="1"/>
        <item sd="0" x="2"/>
        <item sd="0" x="3"/>
        <item sd="0" x="4"/>
        <item sd="0" x="5"/>
        <item sd="0" x="6"/>
        <item sd="0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Fields count="1">
    <field x="2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 of claim" fld="3" baseField="0" baseItem="0" numFmtId="164"/>
  </dataFields>
  <formats count="1">
    <format dxfId="3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9466BD-FD12-41C1-ABEA-79AE7A890D17}" name="PivotTable3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1:U22" firstHeaderRow="1" firstDataRow="2" firstDataCol="1"/>
  <pivotFields count="10">
    <pivotField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sd="0" x="0"/>
        <item sd="0" x="1"/>
        <item sd="0" x="2"/>
        <item sd="0" x="3"/>
        <item sd="0" x="4"/>
        <item sd="0" x="5"/>
        <item sd="0" x="6"/>
        <item sd="0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Fields count="1">
    <field x="2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 of claim" fld="3" baseField="0" baseItem="0" numFmtId="164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641124-F3D5-4D6E-8265-F6B976F51B30}" name="PivotTable2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B30:C50" firstHeaderRow="1" firstDataRow="1" firstDataCol="1"/>
  <pivotFields count="10">
    <pivotField numFmtId="14" showAll="0" defaultSubtotal="0"/>
    <pivotField numFmtId="14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/>
    <pivotField dataField="1" showAll="0" defaultSubtotal="0"/>
    <pivotField axis="axisRow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8">
        <item x="0"/>
        <item x="1"/>
        <item x="2"/>
        <item x="3"/>
        <item x="4"/>
        <item x="5"/>
        <item x="6"/>
        <item x="7"/>
      </items>
    </pivotField>
  </pivotFields>
  <rowFields count="1">
    <field x="5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dataFields count="1">
    <dataField name="Min of premium" fld="4" subtotal="min" baseField="5" baseItem="0" numFmtId="164"/>
  </dataFields>
  <formats count="12">
    <format dxfId="14">
      <pivotArea outline="0" collapsedLevelsAreSubtotals="1" fieldPosition="0"/>
    </format>
    <format dxfId="15">
      <pivotArea field="5" type="button" dataOnly="0" labelOnly="1" outline="0" axis="axisRow" fieldPosition="0"/>
    </format>
    <format dxfId="16">
      <pivotArea dataOnly="0" labelOnly="1" outline="0" axis="axisValues" fieldPosition="0"/>
    </format>
    <format dxfId="17">
      <pivotArea field="5" type="button" dataOnly="0" labelOnly="1" outline="0" axis="axisRow" fieldPosition="0"/>
    </format>
    <format dxfId="18">
      <pivotArea dataOnly="0" labelOnly="1" outline="0" axis="axisValues" fieldPosition="0"/>
    </format>
    <format dxfId="19">
      <pivotArea type="all" dataOnly="0" outline="0" fieldPosition="0"/>
    </format>
    <format dxfId="20">
      <pivotArea outline="0" collapsedLevelsAreSubtotals="1" fieldPosition="0"/>
    </format>
    <format dxfId="21">
      <pivotArea field="5" type="button" dataOnly="0" labelOnly="1" outline="0" axis="axisRow" fieldPosition="0"/>
    </format>
    <format dxfId="22">
      <pivotArea dataOnly="0" labelOnly="1" fieldPosition="0">
        <references count="1">
          <reference field="5" count="0"/>
        </references>
      </pivotArea>
    </format>
    <format dxfId="23">
      <pivotArea dataOnly="0" labelOnly="1" outline="0" axis="axisValues" fieldPosition="0"/>
    </format>
    <format dxfId="24">
      <pivotArea field="5" type="button" dataOnly="0" labelOnly="1" outline="0" axis="axisRow" fieldPosition="0"/>
    </format>
    <format dxfId="2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0BB4D6-853E-4AB7-A3CC-8EA62D21C951}" name="PivotTable2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B30:C50" firstHeaderRow="1" firstDataRow="1" firstDataCol="1"/>
  <pivotFields count="10">
    <pivotField numFmtId="14" showAll="0" defaultSubtotal="0"/>
    <pivotField numFmtId="14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/>
    <pivotField dataField="1" showAll="0" defaultSubtotal="0"/>
    <pivotField axis="axisRow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8">
        <item x="0"/>
        <item x="1"/>
        <item x="2"/>
        <item x="3"/>
        <item x="4"/>
        <item x="5"/>
        <item x="6"/>
        <item x="7"/>
      </items>
    </pivotField>
  </pivotFields>
  <rowFields count="1">
    <field x="5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dataFields count="1">
    <dataField name="Min of premium" fld="4" subtotal="min" baseField="5" baseItem="0" numFmtId="164"/>
  </dataFields>
  <formats count="12">
    <format dxfId="0">
      <pivotArea outline="0" collapsedLevelsAreSubtotals="1" fieldPosition="0"/>
    </format>
    <format dxfId="1">
      <pivotArea field="5" type="button" dataOnly="0" labelOnly="1" outline="0" axis="axisRow" fieldPosition="0"/>
    </format>
    <format dxfId="2">
      <pivotArea dataOnly="0" labelOnly="1" outline="0" axis="axisValues" fieldPosition="0"/>
    </format>
    <format dxfId="3">
      <pivotArea field="5" type="button" dataOnly="0" labelOnly="1" outline="0" axis="axisRow" fieldPosition="0"/>
    </format>
    <format dxfId="4">
      <pivotArea dataOnly="0" labelOnly="1" outline="0" axis="axisValues" fieldPosition="0"/>
    </format>
    <format dxfId="5">
      <pivotArea type="all" dataOnly="0" outline="0" fieldPosition="0"/>
    </format>
    <format dxfId="6">
      <pivotArea outline="0" collapsedLevelsAreSubtotals="1" fieldPosition="0"/>
    </format>
    <format dxfId="7">
      <pivotArea field="5" type="button" dataOnly="0" labelOnly="1" outline="0" axis="axisRow" fieldPosition="0"/>
    </format>
    <format dxfId="8">
      <pivotArea dataOnly="0" labelOnly="1" fieldPosition="0">
        <references count="1">
          <reference field="5" count="0"/>
        </references>
      </pivotArea>
    </format>
    <format dxfId="9">
      <pivotArea dataOnly="0" labelOnly="1" outline="0" axis="axisValues" fieldPosition="0"/>
    </format>
    <format dxfId="10">
      <pivotArea field="5" type="button" dataOnly="0" labelOnly="1" outline="0" axis="axisRow" fieldPosition="0"/>
    </format>
    <format dxfId="1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AD067B-66DA-4CB4-B42D-F78E3AA8392C}" name="PivotTable3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1:U22" firstHeaderRow="1" firstDataRow="2" firstDataCol="1"/>
  <pivotFields count="10">
    <pivotField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sd="0" x="0"/>
        <item sd="0" x="1"/>
        <item sd="0" x="2"/>
        <item sd="0" x="3"/>
        <item sd="0" x="4"/>
        <item sd="0" x="5"/>
        <item sd="0" x="6"/>
        <item sd="0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Fields count="1">
    <field x="2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 of claim" fld="3" baseField="0" baseItem="0" numFmtId="164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11"/>
  <sheetViews>
    <sheetView workbookViewId="0">
      <selection activeCell="F1" sqref="F1:F2"/>
    </sheetView>
  </sheetViews>
  <sheetFormatPr defaultRowHeight="15" x14ac:dyDescent="0.25"/>
  <cols>
    <col min="1" max="1" width="10.7109375" bestFit="1" customWidth="1"/>
    <col min="2" max="2" width="13.140625" bestFit="1" customWidth="1"/>
    <col min="3" max="3" width="3.5703125" bestFit="1" customWidth="1"/>
    <col min="4" max="5" width="12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</row>
    <row r="2" spans="1:6" x14ac:dyDescent="0.25">
      <c r="A2" s="1">
        <v>40268</v>
      </c>
      <c r="B2" s="1">
        <v>40268</v>
      </c>
      <c r="C2">
        <v>0</v>
      </c>
      <c r="D2">
        <v>15885.64381</v>
      </c>
      <c r="E2">
        <v>51346.666409999998</v>
      </c>
      <c r="F2" s="1" t="str">
        <f>YEAR(A2)&amp;IF(LEN(MONTH(A2))=1,"0"&amp;MONTH(A2),MONTH(A2))</f>
        <v>201003</v>
      </c>
    </row>
    <row r="3" spans="1:6" x14ac:dyDescent="0.25">
      <c r="A3" s="1">
        <v>40268</v>
      </c>
      <c r="B3" s="1">
        <v>40359</v>
      </c>
      <c r="C3">
        <v>1</v>
      </c>
      <c r="D3">
        <v>25177.51136</v>
      </c>
      <c r="E3">
        <v>51346.666409999998</v>
      </c>
      <c r="F3" s="1" t="str">
        <f t="shared" ref="F3:F66" si="0">YEAR(A3)&amp;IF(LEN(MONTH(A3))=1,"0"&amp;MONTH(A3),MONTH(A3))</f>
        <v>201003</v>
      </c>
    </row>
    <row r="4" spans="1:6" x14ac:dyDescent="0.25">
      <c r="A4" s="1">
        <v>40268</v>
      </c>
      <c r="B4" s="1">
        <v>40451</v>
      </c>
      <c r="C4">
        <v>2</v>
      </c>
      <c r="D4">
        <v>26571.78973</v>
      </c>
      <c r="E4">
        <v>51346.666409999998</v>
      </c>
      <c r="F4" s="1" t="str">
        <f t="shared" si="0"/>
        <v>201003</v>
      </c>
    </row>
    <row r="5" spans="1:6" x14ac:dyDescent="0.25">
      <c r="A5" s="1">
        <v>40268</v>
      </c>
      <c r="B5" s="1">
        <v>40543</v>
      </c>
      <c r="C5">
        <v>3</v>
      </c>
      <c r="D5">
        <v>25520.487659999999</v>
      </c>
      <c r="E5">
        <v>51346.666409999998</v>
      </c>
      <c r="F5" s="1" t="str">
        <f t="shared" si="0"/>
        <v>201003</v>
      </c>
    </row>
    <row r="6" spans="1:6" x14ac:dyDescent="0.25">
      <c r="A6" s="1">
        <v>40268</v>
      </c>
      <c r="B6" s="1">
        <v>40633</v>
      </c>
      <c r="C6">
        <v>4</v>
      </c>
      <c r="D6">
        <v>25047.471720000001</v>
      </c>
      <c r="E6">
        <v>51346.666409999998</v>
      </c>
      <c r="F6" s="1" t="str">
        <f t="shared" si="0"/>
        <v>201003</v>
      </c>
    </row>
    <row r="7" spans="1:6" x14ac:dyDescent="0.25">
      <c r="A7" s="1">
        <v>40268</v>
      </c>
      <c r="B7" s="1">
        <v>40724</v>
      </c>
      <c r="C7">
        <v>5</v>
      </c>
      <c r="D7">
        <v>25025.264620000002</v>
      </c>
      <c r="E7">
        <v>51346.666409999998</v>
      </c>
      <c r="F7" s="1" t="str">
        <f t="shared" si="0"/>
        <v>201003</v>
      </c>
    </row>
    <row r="8" spans="1:6" x14ac:dyDescent="0.25">
      <c r="A8" s="1">
        <v>40268</v>
      </c>
      <c r="B8" s="1">
        <v>40816</v>
      </c>
      <c r="C8">
        <v>6</v>
      </c>
      <c r="D8">
        <v>24961.98862</v>
      </c>
      <c r="E8">
        <v>51346.666409999998</v>
      </c>
      <c r="F8" s="1" t="str">
        <f t="shared" si="0"/>
        <v>201003</v>
      </c>
    </row>
    <row r="9" spans="1:6" x14ac:dyDescent="0.25">
      <c r="A9" s="1">
        <v>40268</v>
      </c>
      <c r="B9" s="1">
        <v>40908</v>
      </c>
      <c r="C9">
        <v>7</v>
      </c>
      <c r="D9">
        <v>24447.97496</v>
      </c>
      <c r="E9">
        <v>51346.666409999998</v>
      </c>
      <c r="F9" s="1" t="str">
        <f t="shared" si="0"/>
        <v>201003</v>
      </c>
    </row>
    <row r="10" spans="1:6" x14ac:dyDescent="0.25">
      <c r="A10" s="1">
        <v>40268</v>
      </c>
      <c r="B10" s="1">
        <v>40999</v>
      </c>
      <c r="C10">
        <v>8</v>
      </c>
      <c r="D10">
        <v>24411.81725</v>
      </c>
      <c r="E10">
        <v>51346.666409999998</v>
      </c>
      <c r="F10" s="1" t="str">
        <f t="shared" si="0"/>
        <v>201003</v>
      </c>
    </row>
    <row r="11" spans="1:6" x14ac:dyDescent="0.25">
      <c r="A11" s="1">
        <v>40268</v>
      </c>
      <c r="B11" s="1">
        <v>41090</v>
      </c>
      <c r="C11">
        <v>9</v>
      </c>
      <c r="D11">
        <v>24305.19471</v>
      </c>
      <c r="E11">
        <v>51346.666409999998</v>
      </c>
      <c r="F11" s="1" t="str">
        <f t="shared" si="0"/>
        <v>201003</v>
      </c>
    </row>
    <row r="12" spans="1:6" x14ac:dyDescent="0.25">
      <c r="A12" s="1">
        <v>40268</v>
      </c>
      <c r="B12" s="1">
        <v>41182</v>
      </c>
      <c r="C12">
        <v>10</v>
      </c>
      <c r="D12">
        <v>24305.076079999999</v>
      </c>
      <c r="E12">
        <v>51346.666409999998</v>
      </c>
      <c r="F12" s="1" t="str">
        <f t="shared" si="0"/>
        <v>201003</v>
      </c>
    </row>
    <row r="13" spans="1:6" x14ac:dyDescent="0.25">
      <c r="A13" s="1">
        <v>40268</v>
      </c>
      <c r="B13" s="1">
        <v>41274</v>
      </c>
      <c r="C13">
        <v>11</v>
      </c>
      <c r="D13">
        <v>24285.312709999998</v>
      </c>
      <c r="E13">
        <v>51346.666409999998</v>
      </c>
      <c r="F13" s="1" t="str">
        <f t="shared" si="0"/>
        <v>201003</v>
      </c>
    </row>
    <row r="14" spans="1:6" x14ac:dyDescent="0.25">
      <c r="A14" s="1">
        <v>40268</v>
      </c>
      <c r="B14" s="1">
        <v>41364</v>
      </c>
      <c r="C14">
        <v>12</v>
      </c>
      <c r="D14">
        <v>24201.015889999999</v>
      </c>
      <c r="E14">
        <v>51346.666409999998</v>
      </c>
      <c r="F14" s="1" t="str">
        <f t="shared" si="0"/>
        <v>201003</v>
      </c>
    </row>
    <row r="15" spans="1:6" x14ac:dyDescent="0.25">
      <c r="A15" s="1">
        <v>40268</v>
      </c>
      <c r="B15" s="1">
        <v>41455</v>
      </c>
      <c r="C15">
        <v>13</v>
      </c>
      <c r="D15">
        <v>24159.401310000001</v>
      </c>
      <c r="E15">
        <v>51346.666409999998</v>
      </c>
      <c r="F15" s="1" t="str">
        <f t="shared" si="0"/>
        <v>201003</v>
      </c>
    </row>
    <row r="16" spans="1:6" x14ac:dyDescent="0.25">
      <c r="A16" s="1">
        <v>40268</v>
      </c>
      <c r="B16" s="1">
        <v>41547</v>
      </c>
      <c r="C16">
        <v>14</v>
      </c>
      <c r="D16">
        <v>24170.837019999999</v>
      </c>
      <c r="E16">
        <v>51346.666409999998</v>
      </c>
      <c r="F16" s="1" t="str">
        <f t="shared" si="0"/>
        <v>201003</v>
      </c>
    </row>
    <row r="17" spans="1:6" x14ac:dyDescent="0.25">
      <c r="A17" s="1">
        <v>40268</v>
      </c>
      <c r="B17" s="1">
        <v>41639</v>
      </c>
      <c r="C17">
        <v>15</v>
      </c>
      <c r="D17">
        <v>24108.415140000001</v>
      </c>
      <c r="E17">
        <v>51346.666409999998</v>
      </c>
      <c r="F17" s="1" t="str">
        <f t="shared" si="0"/>
        <v>201003</v>
      </c>
    </row>
    <row r="18" spans="1:6" x14ac:dyDescent="0.25">
      <c r="A18" s="1">
        <v>40268</v>
      </c>
      <c r="B18" s="1">
        <v>41729</v>
      </c>
      <c r="C18">
        <v>16</v>
      </c>
      <c r="D18">
        <v>24096.955709999998</v>
      </c>
      <c r="E18">
        <v>51346.666409999998</v>
      </c>
      <c r="F18" s="1" t="str">
        <f t="shared" si="0"/>
        <v>201003</v>
      </c>
    </row>
    <row r="19" spans="1:6" x14ac:dyDescent="0.25">
      <c r="A19" s="1">
        <v>40268</v>
      </c>
      <c r="B19" s="1">
        <v>41820</v>
      </c>
      <c r="C19">
        <v>17</v>
      </c>
      <c r="D19">
        <v>24096.955709999998</v>
      </c>
      <c r="E19">
        <v>51346.666409999998</v>
      </c>
      <c r="F19" s="1" t="str">
        <f t="shared" si="0"/>
        <v>201003</v>
      </c>
    </row>
    <row r="20" spans="1:6" x14ac:dyDescent="0.25">
      <c r="A20" s="1">
        <v>40268</v>
      </c>
      <c r="B20" s="1">
        <v>41912</v>
      </c>
      <c r="C20">
        <v>18</v>
      </c>
      <c r="D20">
        <v>24096.955709999998</v>
      </c>
      <c r="E20">
        <v>51346.666409999998</v>
      </c>
      <c r="F20" s="1" t="str">
        <f t="shared" si="0"/>
        <v>201003</v>
      </c>
    </row>
    <row r="21" spans="1:6" x14ac:dyDescent="0.25">
      <c r="A21" s="1">
        <v>40268</v>
      </c>
      <c r="B21" s="1">
        <v>42004</v>
      </c>
      <c r="C21">
        <v>19</v>
      </c>
      <c r="D21">
        <v>24096.955709999998</v>
      </c>
      <c r="E21">
        <v>51346.666409999998</v>
      </c>
      <c r="F21" s="1" t="str">
        <f t="shared" si="0"/>
        <v>201003</v>
      </c>
    </row>
    <row r="22" spans="1:6" x14ac:dyDescent="0.25">
      <c r="A22" s="1">
        <v>40359</v>
      </c>
      <c r="B22" s="1">
        <v>40359</v>
      </c>
      <c r="C22">
        <v>0</v>
      </c>
      <c r="D22">
        <v>18399.933389999998</v>
      </c>
      <c r="E22">
        <v>53877.276409999999</v>
      </c>
      <c r="F22" s="1" t="str">
        <f t="shared" si="0"/>
        <v>201006</v>
      </c>
    </row>
    <row r="23" spans="1:6" x14ac:dyDescent="0.25">
      <c r="A23" s="1">
        <v>40359</v>
      </c>
      <c r="B23" s="1">
        <v>40451</v>
      </c>
      <c r="C23">
        <v>1</v>
      </c>
      <c r="D23">
        <v>24209.50963</v>
      </c>
      <c r="E23">
        <v>53877.276409999999</v>
      </c>
      <c r="F23" s="1" t="str">
        <f t="shared" si="0"/>
        <v>201006</v>
      </c>
    </row>
    <row r="24" spans="1:6" x14ac:dyDescent="0.25">
      <c r="A24" s="1">
        <v>40359</v>
      </c>
      <c r="B24" s="1">
        <v>40543</v>
      </c>
      <c r="C24">
        <v>2</v>
      </c>
      <c r="D24">
        <v>22952.863079999999</v>
      </c>
      <c r="E24">
        <v>53877.276409999999</v>
      </c>
      <c r="F24" s="1" t="str">
        <f t="shared" si="0"/>
        <v>201006</v>
      </c>
    </row>
    <row r="25" spans="1:6" x14ac:dyDescent="0.25">
      <c r="A25" s="1">
        <v>40359</v>
      </c>
      <c r="B25" s="1">
        <v>40633</v>
      </c>
      <c r="C25">
        <v>3</v>
      </c>
      <c r="D25">
        <v>22781.446110000001</v>
      </c>
      <c r="E25">
        <v>53877.276409999999</v>
      </c>
      <c r="F25" s="1" t="str">
        <f t="shared" si="0"/>
        <v>201006</v>
      </c>
    </row>
    <row r="26" spans="1:6" x14ac:dyDescent="0.25">
      <c r="A26" s="1">
        <v>40359</v>
      </c>
      <c r="B26" s="1">
        <v>40724</v>
      </c>
      <c r="C26">
        <v>4</v>
      </c>
      <c r="D26">
        <v>22709.818729999999</v>
      </c>
      <c r="E26">
        <v>53877.276409999999</v>
      </c>
      <c r="F26" s="1" t="str">
        <f t="shared" si="0"/>
        <v>201006</v>
      </c>
    </row>
    <row r="27" spans="1:6" x14ac:dyDescent="0.25">
      <c r="A27" s="1">
        <v>40359</v>
      </c>
      <c r="B27" s="1">
        <v>40816</v>
      </c>
      <c r="C27">
        <v>5</v>
      </c>
      <c r="D27">
        <v>22939.481879999999</v>
      </c>
      <c r="E27">
        <v>53877.276409999999</v>
      </c>
      <c r="F27" s="1" t="str">
        <f t="shared" si="0"/>
        <v>201006</v>
      </c>
    </row>
    <row r="28" spans="1:6" x14ac:dyDescent="0.25">
      <c r="A28" s="1">
        <v>40359</v>
      </c>
      <c r="B28" s="1">
        <v>40908</v>
      </c>
      <c r="C28">
        <v>6</v>
      </c>
      <c r="D28">
        <v>22276.519329999999</v>
      </c>
      <c r="E28">
        <v>53877.276409999999</v>
      </c>
      <c r="F28" s="1" t="str">
        <f t="shared" si="0"/>
        <v>201006</v>
      </c>
    </row>
    <row r="29" spans="1:6" x14ac:dyDescent="0.25">
      <c r="A29" s="1">
        <v>40359</v>
      </c>
      <c r="B29" s="1">
        <v>40999</v>
      </c>
      <c r="C29">
        <v>7</v>
      </c>
      <c r="D29">
        <v>22394.64875</v>
      </c>
      <c r="E29">
        <v>53877.276409999999</v>
      </c>
      <c r="F29" s="1" t="str">
        <f t="shared" si="0"/>
        <v>201006</v>
      </c>
    </row>
    <row r="30" spans="1:6" x14ac:dyDescent="0.25">
      <c r="A30" s="1">
        <v>40359</v>
      </c>
      <c r="B30" s="1">
        <v>41090</v>
      </c>
      <c r="C30">
        <v>8</v>
      </c>
      <c r="D30">
        <v>22331.79982</v>
      </c>
      <c r="E30">
        <v>53877.276409999999</v>
      </c>
      <c r="F30" s="1" t="str">
        <f t="shared" si="0"/>
        <v>201006</v>
      </c>
    </row>
    <row r="31" spans="1:6" x14ac:dyDescent="0.25">
      <c r="A31" s="1">
        <v>40359</v>
      </c>
      <c r="B31" s="1">
        <v>41182</v>
      </c>
      <c r="C31">
        <v>9</v>
      </c>
      <c r="D31">
        <v>22614.845420000001</v>
      </c>
      <c r="E31">
        <v>53877.276409999999</v>
      </c>
      <c r="F31" s="1" t="str">
        <f t="shared" si="0"/>
        <v>201006</v>
      </c>
    </row>
    <row r="32" spans="1:6" x14ac:dyDescent="0.25">
      <c r="A32" s="1">
        <v>40359</v>
      </c>
      <c r="B32" s="1">
        <v>41274</v>
      </c>
      <c r="C32">
        <v>10</v>
      </c>
      <c r="D32">
        <v>22614.845420000001</v>
      </c>
      <c r="E32">
        <v>53877.276409999999</v>
      </c>
      <c r="F32" s="1" t="str">
        <f t="shared" si="0"/>
        <v>201006</v>
      </c>
    </row>
    <row r="33" spans="1:6" x14ac:dyDescent="0.25">
      <c r="A33" s="1">
        <v>40359</v>
      </c>
      <c r="B33" s="1">
        <v>41364</v>
      </c>
      <c r="C33">
        <v>11</v>
      </c>
      <c r="D33">
        <v>22614.750520000001</v>
      </c>
      <c r="E33">
        <v>53877.276409999999</v>
      </c>
      <c r="F33" s="1" t="str">
        <f t="shared" si="0"/>
        <v>201006</v>
      </c>
    </row>
    <row r="34" spans="1:6" x14ac:dyDescent="0.25">
      <c r="A34" s="1">
        <v>40359</v>
      </c>
      <c r="B34" s="1">
        <v>41455</v>
      </c>
      <c r="C34">
        <v>12</v>
      </c>
      <c r="D34">
        <v>22614.750520000001</v>
      </c>
      <c r="E34">
        <v>53877.276409999999</v>
      </c>
      <c r="F34" s="1" t="str">
        <f t="shared" si="0"/>
        <v>201006</v>
      </c>
    </row>
    <row r="35" spans="1:6" x14ac:dyDescent="0.25">
      <c r="A35" s="1">
        <v>40359</v>
      </c>
      <c r="B35" s="1">
        <v>41547</v>
      </c>
      <c r="C35">
        <v>13</v>
      </c>
      <c r="D35">
        <v>22614.750520000001</v>
      </c>
      <c r="E35">
        <v>53877.276409999999</v>
      </c>
      <c r="F35" s="1" t="str">
        <f t="shared" si="0"/>
        <v>201006</v>
      </c>
    </row>
    <row r="36" spans="1:6" x14ac:dyDescent="0.25">
      <c r="A36" s="1">
        <v>40359</v>
      </c>
      <c r="B36" s="1">
        <v>41639</v>
      </c>
      <c r="C36">
        <v>14</v>
      </c>
      <c r="D36">
        <v>22593.943220000001</v>
      </c>
      <c r="E36">
        <v>53877.276409999999</v>
      </c>
      <c r="F36" s="1" t="str">
        <f t="shared" si="0"/>
        <v>201006</v>
      </c>
    </row>
    <row r="37" spans="1:6" x14ac:dyDescent="0.25">
      <c r="A37" s="1">
        <v>40359</v>
      </c>
      <c r="B37" s="1">
        <v>41729</v>
      </c>
      <c r="C37">
        <v>15</v>
      </c>
      <c r="D37">
        <v>22590.242040000001</v>
      </c>
      <c r="E37">
        <v>53877.276409999999</v>
      </c>
      <c r="F37" s="1" t="str">
        <f t="shared" si="0"/>
        <v>201006</v>
      </c>
    </row>
    <row r="38" spans="1:6" x14ac:dyDescent="0.25">
      <c r="A38" s="1">
        <v>40359</v>
      </c>
      <c r="B38" s="1">
        <v>41820</v>
      </c>
      <c r="C38">
        <v>16</v>
      </c>
      <c r="D38">
        <v>22592.40107</v>
      </c>
      <c r="E38">
        <v>53877.276409999999</v>
      </c>
      <c r="F38" s="1" t="str">
        <f t="shared" si="0"/>
        <v>201006</v>
      </c>
    </row>
    <row r="39" spans="1:6" x14ac:dyDescent="0.25">
      <c r="A39" s="1">
        <v>40359</v>
      </c>
      <c r="B39" s="1">
        <v>41912</v>
      </c>
      <c r="C39">
        <v>17</v>
      </c>
      <c r="D39">
        <v>22592.40107</v>
      </c>
      <c r="E39">
        <v>53877.276409999999</v>
      </c>
      <c r="F39" s="1" t="str">
        <f t="shared" si="0"/>
        <v>201006</v>
      </c>
    </row>
    <row r="40" spans="1:6" x14ac:dyDescent="0.25">
      <c r="A40" s="1">
        <v>40359</v>
      </c>
      <c r="B40" s="1">
        <v>42004</v>
      </c>
      <c r="C40">
        <v>18</v>
      </c>
      <c r="D40">
        <v>22592.40107</v>
      </c>
      <c r="E40">
        <v>53877.276409999999</v>
      </c>
      <c r="F40" s="1" t="str">
        <f t="shared" si="0"/>
        <v>201006</v>
      </c>
    </row>
    <row r="41" spans="1:6" x14ac:dyDescent="0.25">
      <c r="A41" s="1">
        <v>40451</v>
      </c>
      <c r="B41" s="1">
        <v>40451</v>
      </c>
      <c r="C41">
        <v>0</v>
      </c>
      <c r="D41">
        <v>15765.26046</v>
      </c>
      <c r="E41">
        <v>54577.096409999998</v>
      </c>
      <c r="F41" s="1" t="str">
        <f t="shared" si="0"/>
        <v>201009</v>
      </c>
    </row>
    <row r="42" spans="1:6" x14ac:dyDescent="0.25">
      <c r="A42" s="1">
        <v>40451</v>
      </c>
      <c r="B42" s="1">
        <v>40543</v>
      </c>
      <c r="C42">
        <v>1</v>
      </c>
      <c r="D42">
        <v>18859.94774</v>
      </c>
      <c r="E42">
        <v>54577.096409999998</v>
      </c>
      <c r="F42" s="1" t="str">
        <f t="shared" si="0"/>
        <v>201009</v>
      </c>
    </row>
    <row r="43" spans="1:6" x14ac:dyDescent="0.25">
      <c r="A43" s="1">
        <v>40451</v>
      </c>
      <c r="B43" s="1">
        <v>40633</v>
      </c>
      <c r="C43">
        <v>2</v>
      </c>
      <c r="D43">
        <v>17972.304400000001</v>
      </c>
      <c r="E43">
        <v>54577.096409999998</v>
      </c>
      <c r="F43" s="1" t="str">
        <f t="shared" si="0"/>
        <v>201009</v>
      </c>
    </row>
    <row r="44" spans="1:6" x14ac:dyDescent="0.25">
      <c r="A44" s="1">
        <v>40451</v>
      </c>
      <c r="B44" s="1">
        <v>40724</v>
      </c>
      <c r="C44">
        <v>3</v>
      </c>
      <c r="D44">
        <v>18029.221949999999</v>
      </c>
      <c r="E44">
        <v>54577.096409999998</v>
      </c>
      <c r="F44" s="1" t="str">
        <f t="shared" si="0"/>
        <v>201009</v>
      </c>
    </row>
    <row r="45" spans="1:6" x14ac:dyDescent="0.25">
      <c r="A45" s="1">
        <v>40451</v>
      </c>
      <c r="B45" s="1">
        <v>40816</v>
      </c>
      <c r="C45">
        <v>4</v>
      </c>
      <c r="D45">
        <v>18099.710510000001</v>
      </c>
      <c r="E45">
        <v>54577.096409999998</v>
      </c>
      <c r="F45" s="1" t="str">
        <f t="shared" si="0"/>
        <v>201009</v>
      </c>
    </row>
    <row r="46" spans="1:6" x14ac:dyDescent="0.25">
      <c r="A46" s="1">
        <v>40451</v>
      </c>
      <c r="B46" s="1">
        <v>40908</v>
      </c>
      <c r="C46">
        <v>5</v>
      </c>
      <c r="D46">
        <v>17914.793710000002</v>
      </c>
      <c r="E46">
        <v>54577.096409999998</v>
      </c>
      <c r="F46" s="1" t="str">
        <f t="shared" si="0"/>
        <v>201009</v>
      </c>
    </row>
    <row r="47" spans="1:6" x14ac:dyDescent="0.25">
      <c r="A47" s="1">
        <v>40451</v>
      </c>
      <c r="B47" s="1">
        <v>40999</v>
      </c>
      <c r="C47">
        <v>6</v>
      </c>
      <c r="D47">
        <v>17918.92195</v>
      </c>
      <c r="E47">
        <v>54577.096409999998</v>
      </c>
      <c r="F47" s="1" t="str">
        <f t="shared" si="0"/>
        <v>201009</v>
      </c>
    </row>
    <row r="48" spans="1:6" x14ac:dyDescent="0.25">
      <c r="A48" s="1">
        <v>40451</v>
      </c>
      <c r="B48" s="1">
        <v>41090</v>
      </c>
      <c r="C48">
        <v>7</v>
      </c>
      <c r="D48">
        <v>17802.405859999999</v>
      </c>
      <c r="E48">
        <v>54577.096409999998</v>
      </c>
      <c r="F48" s="1" t="str">
        <f t="shared" si="0"/>
        <v>201009</v>
      </c>
    </row>
    <row r="49" spans="1:6" x14ac:dyDescent="0.25">
      <c r="A49" s="1">
        <v>40451</v>
      </c>
      <c r="B49" s="1">
        <v>41182</v>
      </c>
      <c r="C49">
        <v>8</v>
      </c>
      <c r="D49">
        <v>17854.412230000002</v>
      </c>
      <c r="E49">
        <v>54577.096409999998</v>
      </c>
      <c r="F49" s="1" t="str">
        <f t="shared" si="0"/>
        <v>201009</v>
      </c>
    </row>
    <row r="50" spans="1:6" x14ac:dyDescent="0.25">
      <c r="A50" s="1">
        <v>40451</v>
      </c>
      <c r="B50" s="1">
        <v>41274</v>
      </c>
      <c r="C50">
        <v>9</v>
      </c>
      <c r="D50">
        <v>17854.388500000001</v>
      </c>
      <c r="E50">
        <v>54577.096409999998</v>
      </c>
      <c r="F50" s="1" t="str">
        <f t="shared" si="0"/>
        <v>201009</v>
      </c>
    </row>
    <row r="51" spans="1:6" x14ac:dyDescent="0.25">
      <c r="A51" s="1">
        <v>40451</v>
      </c>
      <c r="B51" s="1">
        <v>41364</v>
      </c>
      <c r="C51">
        <v>10</v>
      </c>
      <c r="D51">
        <v>17867.888330000002</v>
      </c>
      <c r="E51">
        <v>54577.096409999998</v>
      </c>
      <c r="F51" s="1" t="str">
        <f t="shared" si="0"/>
        <v>201009</v>
      </c>
    </row>
    <row r="52" spans="1:6" x14ac:dyDescent="0.25">
      <c r="A52" s="1">
        <v>40451</v>
      </c>
      <c r="B52" s="1">
        <v>41455</v>
      </c>
      <c r="C52">
        <v>11</v>
      </c>
      <c r="D52">
        <v>17843.83064</v>
      </c>
      <c r="E52">
        <v>54577.096409999998</v>
      </c>
      <c r="F52" s="1" t="str">
        <f t="shared" si="0"/>
        <v>201009</v>
      </c>
    </row>
    <row r="53" spans="1:6" x14ac:dyDescent="0.25">
      <c r="A53" s="1">
        <v>40451</v>
      </c>
      <c r="B53" s="1">
        <v>41547</v>
      </c>
      <c r="C53">
        <v>12</v>
      </c>
      <c r="D53">
        <v>17828.907279999999</v>
      </c>
      <c r="E53">
        <v>54577.096409999998</v>
      </c>
      <c r="F53" s="1" t="str">
        <f t="shared" si="0"/>
        <v>201009</v>
      </c>
    </row>
    <row r="54" spans="1:6" x14ac:dyDescent="0.25">
      <c r="A54" s="1">
        <v>40451</v>
      </c>
      <c r="B54" s="1">
        <v>41639</v>
      </c>
      <c r="C54">
        <v>13</v>
      </c>
      <c r="D54">
        <v>17828.907279999999</v>
      </c>
      <c r="E54">
        <v>54577.096409999998</v>
      </c>
      <c r="F54" s="1" t="str">
        <f t="shared" si="0"/>
        <v>201009</v>
      </c>
    </row>
    <row r="55" spans="1:6" x14ac:dyDescent="0.25">
      <c r="A55" s="1">
        <v>40451</v>
      </c>
      <c r="B55" s="1">
        <v>41729</v>
      </c>
      <c r="C55">
        <v>14</v>
      </c>
      <c r="D55">
        <v>17762.309710000001</v>
      </c>
      <c r="E55">
        <v>54577.096409999998</v>
      </c>
      <c r="F55" s="1" t="str">
        <f t="shared" si="0"/>
        <v>201009</v>
      </c>
    </row>
    <row r="56" spans="1:6" x14ac:dyDescent="0.25">
      <c r="A56" s="1">
        <v>40451</v>
      </c>
      <c r="B56" s="1">
        <v>41820</v>
      </c>
      <c r="C56">
        <v>15</v>
      </c>
      <c r="D56">
        <v>17762.309710000001</v>
      </c>
      <c r="E56">
        <v>54577.096409999998</v>
      </c>
      <c r="F56" s="1" t="str">
        <f t="shared" si="0"/>
        <v>201009</v>
      </c>
    </row>
    <row r="57" spans="1:6" x14ac:dyDescent="0.25">
      <c r="A57" s="1">
        <v>40451</v>
      </c>
      <c r="B57" s="1">
        <v>41912</v>
      </c>
      <c r="C57">
        <v>16</v>
      </c>
      <c r="D57">
        <v>17754.29048</v>
      </c>
      <c r="E57">
        <v>54577.096409999998</v>
      </c>
      <c r="F57" s="1" t="str">
        <f t="shared" si="0"/>
        <v>201009</v>
      </c>
    </row>
    <row r="58" spans="1:6" x14ac:dyDescent="0.25">
      <c r="A58" s="1">
        <v>40451</v>
      </c>
      <c r="B58" s="1">
        <v>42004</v>
      </c>
      <c r="C58">
        <v>17</v>
      </c>
      <c r="D58">
        <v>17754.29048</v>
      </c>
      <c r="E58">
        <v>54577.096409999998</v>
      </c>
      <c r="F58" s="1" t="str">
        <f t="shared" si="0"/>
        <v>201009</v>
      </c>
    </row>
    <row r="59" spans="1:6" x14ac:dyDescent="0.25">
      <c r="A59" s="1">
        <v>40543</v>
      </c>
      <c r="B59" s="1">
        <v>40543</v>
      </c>
      <c r="C59">
        <v>0</v>
      </c>
      <c r="D59">
        <v>18049.151399999999</v>
      </c>
      <c r="E59">
        <v>55527.486409999998</v>
      </c>
      <c r="F59" s="1" t="str">
        <f t="shared" si="0"/>
        <v>201012</v>
      </c>
    </row>
    <row r="60" spans="1:6" x14ac:dyDescent="0.25">
      <c r="A60" s="1">
        <v>40543</v>
      </c>
      <c r="B60" s="1">
        <v>40633</v>
      </c>
      <c r="C60">
        <v>1</v>
      </c>
      <c r="D60">
        <v>24586.081289999998</v>
      </c>
      <c r="E60">
        <v>55527.486409999998</v>
      </c>
      <c r="F60" s="1" t="str">
        <f t="shared" si="0"/>
        <v>201012</v>
      </c>
    </row>
    <row r="61" spans="1:6" x14ac:dyDescent="0.25">
      <c r="A61" s="1">
        <v>40543</v>
      </c>
      <c r="B61" s="1">
        <v>40724</v>
      </c>
      <c r="C61">
        <v>2</v>
      </c>
      <c r="D61">
        <v>24557.610649999999</v>
      </c>
      <c r="E61">
        <v>55527.486409999998</v>
      </c>
      <c r="F61" s="1" t="str">
        <f t="shared" si="0"/>
        <v>201012</v>
      </c>
    </row>
    <row r="62" spans="1:6" x14ac:dyDescent="0.25">
      <c r="A62" s="1">
        <v>40543</v>
      </c>
      <c r="B62" s="1">
        <v>40816</v>
      </c>
      <c r="C62">
        <v>3</v>
      </c>
      <c r="D62">
        <v>24341.732029999999</v>
      </c>
      <c r="E62">
        <v>55527.486409999998</v>
      </c>
      <c r="F62" s="1" t="str">
        <f t="shared" si="0"/>
        <v>201012</v>
      </c>
    </row>
    <row r="63" spans="1:6" x14ac:dyDescent="0.25">
      <c r="A63" s="1">
        <v>40543</v>
      </c>
      <c r="B63" s="1">
        <v>40908</v>
      </c>
      <c r="C63">
        <v>4</v>
      </c>
      <c r="D63">
        <v>23850.186450000001</v>
      </c>
      <c r="E63">
        <v>55527.486409999998</v>
      </c>
      <c r="F63" s="1" t="str">
        <f t="shared" si="0"/>
        <v>201012</v>
      </c>
    </row>
    <row r="64" spans="1:6" x14ac:dyDescent="0.25">
      <c r="A64" s="1">
        <v>40543</v>
      </c>
      <c r="B64" s="1">
        <v>40999</v>
      </c>
      <c r="C64">
        <v>5</v>
      </c>
      <c r="D64">
        <v>23923.403439999998</v>
      </c>
      <c r="E64">
        <v>55527.486409999998</v>
      </c>
      <c r="F64" s="1" t="str">
        <f t="shared" si="0"/>
        <v>201012</v>
      </c>
    </row>
    <row r="65" spans="1:6" x14ac:dyDescent="0.25">
      <c r="A65" s="1">
        <v>40543</v>
      </c>
      <c r="B65" s="1">
        <v>41090</v>
      </c>
      <c r="C65">
        <v>6</v>
      </c>
      <c r="D65">
        <v>23912.371070000001</v>
      </c>
      <c r="E65">
        <v>55527.486409999998</v>
      </c>
      <c r="F65" s="1" t="str">
        <f t="shared" si="0"/>
        <v>201012</v>
      </c>
    </row>
    <row r="66" spans="1:6" x14ac:dyDescent="0.25">
      <c r="A66" s="1">
        <v>40543</v>
      </c>
      <c r="B66" s="1">
        <v>41182</v>
      </c>
      <c r="C66">
        <v>7</v>
      </c>
      <c r="D66">
        <v>23959.22899</v>
      </c>
      <c r="E66">
        <v>55527.486409999998</v>
      </c>
      <c r="F66" s="1" t="str">
        <f t="shared" si="0"/>
        <v>201012</v>
      </c>
    </row>
    <row r="67" spans="1:6" x14ac:dyDescent="0.25">
      <c r="A67" s="1">
        <v>40543</v>
      </c>
      <c r="B67" s="1">
        <v>41274</v>
      </c>
      <c r="C67">
        <v>8</v>
      </c>
      <c r="D67">
        <v>23949.216820000001</v>
      </c>
      <c r="E67">
        <v>55527.486409999998</v>
      </c>
      <c r="F67" s="1" t="str">
        <f t="shared" ref="F67:F130" si="1">YEAR(A67)&amp;IF(LEN(MONTH(A67))=1,"0"&amp;MONTH(A67),MONTH(A67))</f>
        <v>201012</v>
      </c>
    </row>
    <row r="68" spans="1:6" x14ac:dyDescent="0.25">
      <c r="A68" s="1">
        <v>40543</v>
      </c>
      <c r="B68" s="1">
        <v>41364</v>
      </c>
      <c r="C68">
        <v>9</v>
      </c>
      <c r="D68">
        <v>23823.18679</v>
      </c>
      <c r="E68">
        <v>55527.486409999998</v>
      </c>
      <c r="F68" s="1" t="str">
        <f t="shared" si="1"/>
        <v>201012</v>
      </c>
    </row>
    <row r="69" spans="1:6" x14ac:dyDescent="0.25">
      <c r="A69" s="1">
        <v>40543</v>
      </c>
      <c r="B69" s="1">
        <v>41455</v>
      </c>
      <c r="C69">
        <v>10</v>
      </c>
      <c r="D69">
        <v>23921.386770000001</v>
      </c>
      <c r="E69">
        <v>55527.486409999998</v>
      </c>
      <c r="F69" s="1" t="str">
        <f t="shared" si="1"/>
        <v>201012</v>
      </c>
    </row>
    <row r="70" spans="1:6" x14ac:dyDescent="0.25">
      <c r="A70" s="1">
        <v>40543</v>
      </c>
      <c r="B70" s="1">
        <v>41547</v>
      </c>
      <c r="C70">
        <v>11</v>
      </c>
      <c r="D70">
        <v>23836.022300000001</v>
      </c>
      <c r="E70">
        <v>55527.486409999998</v>
      </c>
      <c r="F70" s="1" t="str">
        <f t="shared" si="1"/>
        <v>201012</v>
      </c>
    </row>
    <row r="71" spans="1:6" x14ac:dyDescent="0.25">
      <c r="A71" s="1">
        <v>40543</v>
      </c>
      <c r="B71" s="1">
        <v>41639</v>
      </c>
      <c r="C71">
        <v>12</v>
      </c>
      <c r="D71">
        <v>23862.87961</v>
      </c>
      <c r="E71">
        <v>55527.486409999998</v>
      </c>
      <c r="F71" s="1" t="str">
        <f t="shared" si="1"/>
        <v>201012</v>
      </c>
    </row>
    <row r="72" spans="1:6" x14ac:dyDescent="0.25">
      <c r="A72" s="1">
        <v>40543</v>
      </c>
      <c r="B72" s="1">
        <v>41729</v>
      </c>
      <c r="C72">
        <v>13</v>
      </c>
      <c r="D72">
        <v>23862.855879999999</v>
      </c>
      <c r="E72">
        <v>55527.486409999998</v>
      </c>
      <c r="F72" s="1" t="str">
        <f t="shared" si="1"/>
        <v>201012</v>
      </c>
    </row>
    <row r="73" spans="1:6" x14ac:dyDescent="0.25">
      <c r="A73" s="1">
        <v>40543</v>
      </c>
      <c r="B73" s="1">
        <v>41820</v>
      </c>
      <c r="C73">
        <v>14</v>
      </c>
      <c r="D73">
        <v>23853.152139999998</v>
      </c>
      <c r="E73">
        <v>55527.486409999998</v>
      </c>
      <c r="F73" s="1" t="str">
        <f t="shared" si="1"/>
        <v>201012</v>
      </c>
    </row>
    <row r="74" spans="1:6" x14ac:dyDescent="0.25">
      <c r="A74" s="1">
        <v>40543</v>
      </c>
      <c r="B74" s="1">
        <v>41912</v>
      </c>
      <c r="C74">
        <v>15</v>
      </c>
      <c r="D74">
        <v>23829.94857</v>
      </c>
      <c r="E74">
        <v>55527.486409999998</v>
      </c>
      <c r="F74" s="1" t="str">
        <f t="shared" si="1"/>
        <v>201012</v>
      </c>
    </row>
    <row r="75" spans="1:6" x14ac:dyDescent="0.25">
      <c r="A75" s="1">
        <v>40543</v>
      </c>
      <c r="B75" s="1">
        <v>42004</v>
      </c>
      <c r="C75">
        <v>16</v>
      </c>
      <c r="D75">
        <v>23829.94857</v>
      </c>
      <c r="E75">
        <v>55527.486409999998</v>
      </c>
      <c r="F75" s="1" t="str">
        <f t="shared" si="1"/>
        <v>201012</v>
      </c>
    </row>
    <row r="76" spans="1:6" x14ac:dyDescent="0.25">
      <c r="A76" s="1">
        <v>40633</v>
      </c>
      <c r="B76" s="1">
        <v>40633</v>
      </c>
      <c r="C76">
        <v>0</v>
      </c>
      <c r="D76">
        <v>22716.20089</v>
      </c>
      <c r="E76">
        <v>56767.616410000002</v>
      </c>
      <c r="F76" s="1" t="str">
        <f t="shared" si="1"/>
        <v>201103</v>
      </c>
    </row>
    <row r="77" spans="1:6" x14ac:dyDescent="0.25">
      <c r="A77" s="1">
        <v>40633</v>
      </c>
      <c r="B77" s="1">
        <v>40724</v>
      </c>
      <c r="C77">
        <v>1</v>
      </c>
      <c r="D77">
        <v>28799.498599999999</v>
      </c>
      <c r="E77">
        <v>56767.616410000002</v>
      </c>
      <c r="F77" s="1" t="str">
        <f t="shared" si="1"/>
        <v>201103</v>
      </c>
    </row>
    <row r="78" spans="1:6" x14ac:dyDescent="0.25">
      <c r="A78" s="1">
        <v>40633</v>
      </c>
      <c r="B78" s="1">
        <v>40816</v>
      </c>
      <c r="C78">
        <v>2</v>
      </c>
      <c r="D78">
        <v>28139.21703</v>
      </c>
      <c r="E78">
        <v>56767.616410000002</v>
      </c>
      <c r="F78" s="1" t="str">
        <f t="shared" si="1"/>
        <v>201103</v>
      </c>
    </row>
    <row r="79" spans="1:6" x14ac:dyDescent="0.25">
      <c r="A79" s="1">
        <v>40633</v>
      </c>
      <c r="B79" s="1">
        <v>40908</v>
      </c>
      <c r="C79">
        <v>3</v>
      </c>
      <c r="D79">
        <v>26890.423630000001</v>
      </c>
      <c r="E79">
        <v>56767.616410000002</v>
      </c>
      <c r="F79" s="1" t="str">
        <f t="shared" si="1"/>
        <v>201103</v>
      </c>
    </row>
    <row r="80" spans="1:6" x14ac:dyDescent="0.25">
      <c r="A80" s="1">
        <v>40633</v>
      </c>
      <c r="B80" s="1">
        <v>40999</v>
      </c>
      <c r="C80">
        <v>4</v>
      </c>
      <c r="D80">
        <v>27203.173599999998</v>
      </c>
      <c r="E80">
        <v>56767.616410000002</v>
      </c>
      <c r="F80" s="1" t="str">
        <f t="shared" si="1"/>
        <v>201103</v>
      </c>
    </row>
    <row r="81" spans="1:6" x14ac:dyDescent="0.25">
      <c r="A81" s="1">
        <v>40633</v>
      </c>
      <c r="B81" s="1">
        <v>41090</v>
      </c>
      <c r="C81">
        <v>5</v>
      </c>
      <c r="D81">
        <v>27014.270909999999</v>
      </c>
      <c r="E81">
        <v>56767.616410000002</v>
      </c>
      <c r="F81" s="1" t="str">
        <f t="shared" si="1"/>
        <v>201103</v>
      </c>
    </row>
    <row r="82" spans="1:6" x14ac:dyDescent="0.25">
      <c r="A82" s="1">
        <v>40633</v>
      </c>
      <c r="B82" s="1">
        <v>41182</v>
      </c>
      <c r="C82">
        <v>6</v>
      </c>
      <c r="D82">
        <v>26813.00722</v>
      </c>
      <c r="E82">
        <v>56767.616410000002</v>
      </c>
      <c r="F82" s="1" t="str">
        <f t="shared" si="1"/>
        <v>201103</v>
      </c>
    </row>
    <row r="83" spans="1:6" x14ac:dyDescent="0.25">
      <c r="A83" s="1">
        <v>40633</v>
      </c>
      <c r="B83" s="1">
        <v>41274</v>
      </c>
      <c r="C83">
        <v>7</v>
      </c>
      <c r="D83">
        <v>26542.227719999999</v>
      </c>
      <c r="E83">
        <v>56767.616410000002</v>
      </c>
      <c r="F83" s="1" t="str">
        <f t="shared" si="1"/>
        <v>201103</v>
      </c>
    </row>
    <row r="84" spans="1:6" x14ac:dyDescent="0.25">
      <c r="A84" s="1">
        <v>40633</v>
      </c>
      <c r="B84" s="1">
        <v>41364</v>
      </c>
      <c r="C84">
        <v>8</v>
      </c>
      <c r="D84">
        <v>26363.693080000001</v>
      </c>
      <c r="E84">
        <v>56767.616410000002</v>
      </c>
      <c r="F84" s="1" t="str">
        <f t="shared" si="1"/>
        <v>201103</v>
      </c>
    </row>
    <row r="85" spans="1:6" x14ac:dyDescent="0.25">
      <c r="A85" s="1">
        <v>40633</v>
      </c>
      <c r="B85" s="1">
        <v>41455</v>
      </c>
      <c r="C85">
        <v>9</v>
      </c>
      <c r="D85">
        <v>26522.725330000001</v>
      </c>
      <c r="E85">
        <v>56767.616410000002</v>
      </c>
      <c r="F85" s="1" t="str">
        <f t="shared" si="1"/>
        <v>201103</v>
      </c>
    </row>
    <row r="86" spans="1:6" x14ac:dyDescent="0.25">
      <c r="A86" s="1">
        <v>40633</v>
      </c>
      <c r="B86" s="1">
        <v>41547</v>
      </c>
      <c r="C86">
        <v>10</v>
      </c>
      <c r="D86">
        <v>26259.32447</v>
      </c>
      <c r="E86">
        <v>56767.616410000002</v>
      </c>
      <c r="F86" s="1" t="str">
        <f t="shared" si="1"/>
        <v>201103</v>
      </c>
    </row>
    <row r="87" spans="1:6" x14ac:dyDescent="0.25">
      <c r="A87" s="1">
        <v>40633</v>
      </c>
      <c r="B87" s="1">
        <v>41639</v>
      </c>
      <c r="C87">
        <v>11</v>
      </c>
      <c r="D87">
        <v>26256.548579999999</v>
      </c>
      <c r="E87">
        <v>56767.616410000002</v>
      </c>
      <c r="F87" s="1" t="str">
        <f t="shared" si="1"/>
        <v>201103</v>
      </c>
    </row>
    <row r="88" spans="1:6" x14ac:dyDescent="0.25">
      <c r="A88" s="1">
        <v>40633</v>
      </c>
      <c r="B88" s="1">
        <v>41729</v>
      </c>
      <c r="C88">
        <v>12</v>
      </c>
      <c r="D88">
        <v>26050.516049999998</v>
      </c>
      <c r="E88">
        <v>56767.616410000002</v>
      </c>
      <c r="F88" s="1" t="str">
        <f t="shared" si="1"/>
        <v>201103</v>
      </c>
    </row>
    <row r="89" spans="1:6" x14ac:dyDescent="0.25">
      <c r="A89" s="1">
        <v>40633</v>
      </c>
      <c r="B89" s="1">
        <v>41820</v>
      </c>
      <c r="C89">
        <v>13</v>
      </c>
      <c r="D89">
        <v>26000.573810000002</v>
      </c>
      <c r="E89">
        <v>56767.616410000002</v>
      </c>
      <c r="F89" s="1" t="str">
        <f t="shared" si="1"/>
        <v>201103</v>
      </c>
    </row>
    <row r="90" spans="1:6" x14ac:dyDescent="0.25">
      <c r="A90" s="1">
        <v>40633</v>
      </c>
      <c r="B90" s="1">
        <v>41912</v>
      </c>
      <c r="C90">
        <v>14</v>
      </c>
      <c r="D90">
        <v>26000.573810000002</v>
      </c>
      <c r="E90">
        <v>56767.616410000002</v>
      </c>
      <c r="F90" s="1" t="str">
        <f t="shared" si="1"/>
        <v>201103</v>
      </c>
    </row>
    <row r="91" spans="1:6" x14ac:dyDescent="0.25">
      <c r="A91" s="1">
        <v>40633</v>
      </c>
      <c r="B91" s="1">
        <v>42004</v>
      </c>
      <c r="C91">
        <v>15</v>
      </c>
      <c r="D91">
        <v>26000.573810000002</v>
      </c>
      <c r="E91">
        <v>56767.616410000002</v>
      </c>
      <c r="F91" s="1" t="str">
        <f t="shared" si="1"/>
        <v>201103</v>
      </c>
    </row>
    <row r="92" spans="1:6" x14ac:dyDescent="0.25">
      <c r="A92" s="1">
        <v>40724</v>
      </c>
      <c r="B92" s="1">
        <v>40724</v>
      </c>
      <c r="C92">
        <v>0</v>
      </c>
      <c r="D92">
        <v>17629.565350000001</v>
      </c>
      <c r="E92">
        <v>57243.726410000003</v>
      </c>
      <c r="F92" s="1" t="str">
        <f t="shared" si="1"/>
        <v>201106</v>
      </c>
    </row>
    <row r="93" spans="1:6" x14ac:dyDescent="0.25">
      <c r="A93" s="1">
        <v>40724</v>
      </c>
      <c r="B93" s="1">
        <v>40816</v>
      </c>
      <c r="C93">
        <v>1</v>
      </c>
      <c r="D93">
        <v>24164.4074</v>
      </c>
      <c r="E93">
        <v>57243.726410000003</v>
      </c>
      <c r="F93" s="1" t="str">
        <f t="shared" si="1"/>
        <v>201106</v>
      </c>
    </row>
    <row r="94" spans="1:6" x14ac:dyDescent="0.25">
      <c r="A94" s="1">
        <v>40724</v>
      </c>
      <c r="B94" s="1">
        <v>40908</v>
      </c>
      <c r="C94">
        <v>2</v>
      </c>
      <c r="D94">
        <v>23772.509050000001</v>
      </c>
      <c r="E94">
        <v>57243.726410000003</v>
      </c>
      <c r="F94" s="1" t="str">
        <f t="shared" si="1"/>
        <v>201106</v>
      </c>
    </row>
    <row r="95" spans="1:6" x14ac:dyDescent="0.25">
      <c r="A95" s="1">
        <v>40724</v>
      </c>
      <c r="B95" s="1">
        <v>40999</v>
      </c>
      <c r="C95">
        <v>3</v>
      </c>
      <c r="D95">
        <v>23060.505819999998</v>
      </c>
      <c r="E95">
        <v>57243.726410000003</v>
      </c>
      <c r="F95" s="1" t="str">
        <f t="shared" si="1"/>
        <v>201106</v>
      </c>
    </row>
    <row r="96" spans="1:6" x14ac:dyDescent="0.25">
      <c r="A96" s="1">
        <v>40724</v>
      </c>
      <c r="B96" s="1">
        <v>41090</v>
      </c>
      <c r="C96">
        <v>4</v>
      </c>
      <c r="D96">
        <v>22775.34865</v>
      </c>
      <c r="E96">
        <v>57243.726410000003</v>
      </c>
      <c r="F96" s="1" t="str">
        <f t="shared" si="1"/>
        <v>201106</v>
      </c>
    </row>
    <row r="97" spans="1:6" x14ac:dyDescent="0.25">
      <c r="A97" s="1">
        <v>40724</v>
      </c>
      <c r="B97" s="1">
        <v>41182</v>
      </c>
      <c r="C97">
        <v>5</v>
      </c>
      <c r="D97">
        <v>22658.66648</v>
      </c>
      <c r="E97">
        <v>57243.726410000003</v>
      </c>
      <c r="F97" s="1" t="str">
        <f t="shared" si="1"/>
        <v>201106</v>
      </c>
    </row>
    <row r="98" spans="1:6" x14ac:dyDescent="0.25">
      <c r="A98" s="1">
        <v>40724</v>
      </c>
      <c r="B98" s="1">
        <v>41274</v>
      </c>
      <c r="C98">
        <v>6</v>
      </c>
      <c r="D98">
        <v>22348.526320000001</v>
      </c>
      <c r="E98">
        <v>57243.726410000003</v>
      </c>
      <c r="F98" s="1" t="str">
        <f t="shared" si="1"/>
        <v>201106</v>
      </c>
    </row>
    <row r="99" spans="1:6" x14ac:dyDescent="0.25">
      <c r="A99" s="1">
        <v>40724</v>
      </c>
      <c r="B99" s="1">
        <v>41364</v>
      </c>
      <c r="C99">
        <v>7</v>
      </c>
      <c r="D99">
        <v>22241.50044</v>
      </c>
      <c r="E99">
        <v>57243.726410000003</v>
      </c>
      <c r="F99" s="1" t="str">
        <f t="shared" si="1"/>
        <v>201106</v>
      </c>
    </row>
    <row r="100" spans="1:6" x14ac:dyDescent="0.25">
      <c r="A100" s="1">
        <v>40724</v>
      </c>
      <c r="B100" s="1">
        <v>41455</v>
      </c>
      <c r="C100">
        <v>8</v>
      </c>
      <c r="D100">
        <v>22254.90537</v>
      </c>
      <c r="E100">
        <v>57243.726410000003</v>
      </c>
      <c r="F100" s="1" t="str">
        <f t="shared" si="1"/>
        <v>201106</v>
      </c>
    </row>
    <row r="101" spans="1:6" x14ac:dyDescent="0.25">
      <c r="A101" s="1">
        <v>40724</v>
      </c>
      <c r="B101" s="1">
        <v>41547</v>
      </c>
      <c r="C101">
        <v>9</v>
      </c>
      <c r="D101">
        <v>22228.854729999999</v>
      </c>
      <c r="E101">
        <v>57243.726410000003</v>
      </c>
      <c r="F101" s="1" t="str">
        <f t="shared" si="1"/>
        <v>201106</v>
      </c>
    </row>
    <row r="102" spans="1:6" x14ac:dyDescent="0.25">
      <c r="A102" s="1">
        <v>40724</v>
      </c>
      <c r="B102" s="1">
        <v>41639</v>
      </c>
      <c r="C102">
        <v>10</v>
      </c>
      <c r="D102">
        <v>22228.854729999999</v>
      </c>
      <c r="E102">
        <v>57243.726410000003</v>
      </c>
      <c r="F102" s="1" t="str">
        <f t="shared" si="1"/>
        <v>201106</v>
      </c>
    </row>
    <row r="103" spans="1:6" x14ac:dyDescent="0.25">
      <c r="A103" s="1">
        <v>40724</v>
      </c>
      <c r="B103" s="1">
        <v>41729</v>
      </c>
      <c r="C103">
        <v>11</v>
      </c>
      <c r="D103">
        <v>22197.63193</v>
      </c>
      <c r="E103">
        <v>57243.726410000003</v>
      </c>
      <c r="F103" s="1" t="str">
        <f t="shared" si="1"/>
        <v>201106</v>
      </c>
    </row>
    <row r="104" spans="1:6" x14ac:dyDescent="0.25">
      <c r="A104" s="1">
        <v>40724</v>
      </c>
      <c r="B104" s="1">
        <v>41820</v>
      </c>
      <c r="C104">
        <v>12</v>
      </c>
      <c r="D104">
        <v>22114.450209999999</v>
      </c>
      <c r="E104">
        <v>57243.726410000003</v>
      </c>
      <c r="F104" s="1" t="str">
        <f t="shared" si="1"/>
        <v>201106</v>
      </c>
    </row>
    <row r="105" spans="1:6" x14ac:dyDescent="0.25">
      <c r="A105" s="1">
        <v>40724</v>
      </c>
      <c r="B105" s="1">
        <v>41912</v>
      </c>
      <c r="C105">
        <v>13</v>
      </c>
      <c r="D105">
        <v>22062.420119999999</v>
      </c>
      <c r="E105">
        <v>57243.726410000003</v>
      </c>
      <c r="F105" s="1" t="str">
        <f t="shared" si="1"/>
        <v>201106</v>
      </c>
    </row>
    <row r="106" spans="1:6" x14ac:dyDescent="0.25">
      <c r="A106" s="1">
        <v>40724</v>
      </c>
      <c r="B106" s="1">
        <v>42004</v>
      </c>
      <c r="C106">
        <v>14</v>
      </c>
      <c r="D106">
        <v>22062.420119999999</v>
      </c>
      <c r="E106">
        <v>57243.726410000003</v>
      </c>
      <c r="F106" s="1" t="str">
        <f t="shared" si="1"/>
        <v>201106</v>
      </c>
    </row>
    <row r="107" spans="1:6" x14ac:dyDescent="0.25">
      <c r="A107" s="1">
        <v>40816</v>
      </c>
      <c r="B107" s="1">
        <v>40816</v>
      </c>
      <c r="C107">
        <v>0</v>
      </c>
      <c r="D107">
        <v>20852.109530000002</v>
      </c>
      <c r="E107">
        <v>58405.126409999997</v>
      </c>
      <c r="F107" s="1" t="str">
        <f t="shared" si="1"/>
        <v>201109</v>
      </c>
    </row>
    <row r="108" spans="1:6" x14ac:dyDescent="0.25">
      <c r="A108" s="1">
        <v>40816</v>
      </c>
      <c r="B108" s="1">
        <v>40908</v>
      </c>
      <c r="C108">
        <v>1</v>
      </c>
      <c r="D108">
        <v>28044.433529999998</v>
      </c>
      <c r="E108">
        <v>58405.126409999997</v>
      </c>
      <c r="F108" s="1" t="str">
        <f t="shared" si="1"/>
        <v>201109</v>
      </c>
    </row>
    <row r="109" spans="1:6" x14ac:dyDescent="0.25">
      <c r="A109" s="1">
        <v>40816</v>
      </c>
      <c r="B109" s="1">
        <v>40999</v>
      </c>
      <c r="C109">
        <v>2</v>
      </c>
      <c r="D109">
        <v>27322.346949999999</v>
      </c>
      <c r="E109">
        <v>58405.126409999997</v>
      </c>
      <c r="F109" s="1" t="str">
        <f t="shared" si="1"/>
        <v>201109</v>
      </c>
    </row>
    <row r="110" spans="1:6" x14ac:dyDescent="0.25">
      <c r="A110" s="1">
        <v>40816</v>
      </c>
      <c r="B110" s="1">
        <v>41090</v>
      </c>
      <c r="C110">
        <v>3</v>
      </c>
      <c r="D110">
        <v>27051.21156</v>
      </c>
      <c r="E110">
        <v>58405.126409999997</v>
      </c>
      <c r="F110" s="1" t="str">
        <f t="shared" si="1"/>
        <v>201109</v>
      </c>
    </row>
    <row r="111" spans="1:6" x14ac:dyDescent="0.25">
      <c r="A111" s="1">
        <v>40816</v>
      </c>
      <c r="B111" s="1">
        <v>41182</v>
      </c>
      <c r="C111">
        <v>4</v>
      </c>
      <c r="D111">
        <v>26749.754949999999</v>
      </c>
      <c r="E111">
        <v>58405.126409999997</v>
      </c>
      <c r="F111" s="1" t="str">
        <f t="shared" si="1"/>
        <v>201109</v>
      </c>
    </row>
    <row r="112" spans="1:6" x14ac:dyDescent="0.25">
      <c r="A112" s="1">
        <v>40816</v>
      </c>
      <c r="B112" s="1">
        <v>41274</v>
      </c>
      <c r="C112">
        <v>5</v>
      </c>
      <c r="D112">
        <v>26292.919819999999</v>
      </c>
      <c r="E112">
        <v>58405.126409999997</v>
      </c>
      <c r="F112" s="1" t="str">
        <f t="shared" si="1"/>
        <v>201109</v>
      </c>
    </row>
    <row r="113" spans="1:6" x14ac:dyDescent="0.25">
      <c r="A113" s="1">
        <v>40816</v>
      </c>
      <c r="B113" s="1">
        <v>41364</v>
      </c>
      <c r="C113">
        <v>6</v>
      </c>
      <c r="D113">
        <v>26136.592290000001</v>
      </c>
      <c r="E113">
        <v>58405.126409999997</v>
      </c>
      <c r="F113" s="1" t="str">
        <f t="shared" si="1"/>
        <v>201109</v>
      </c>
    </row>
    <row r="114" spans="1:6" x14ac:dyDescent="0.25">
      <c r="A114" s="1">
        <v>40816</v>
      </c>
      <c r="B114" s="1">
        <v>41455</v>
      </c>
      <c r="C114">
        <v>7</v>
      </c>
      <c r="D114">
        <v>26133.009730000002</v>
      </c>
      <c r="E114">
        <v>58405.126409999997</v>
      </c>
      <c r="F114" s="1" t="str">
        <f t="shared" si="1"/>
        <v>201109</v>
      </c>
    </row>
    <row r="115" spans="1:6" x14ac:dyDescent="0.25">
      <c r="A115" s="1">
        <v>40816</v>
      </c>
      <c r="B115" s="1">
        <v>41547</v>
      </c>
      <c r="C115">
        <v>8</v>
      </c>
      <c r="D115">
        <v>26309.788670000002</v>
      </c>
      <c r="E115">
        <v>58405.126409999997</v>
      </c>
      <c r="F115" s="1" t="str">
        <f t="shared" si="1"/>
        <v>201109</v>
      </c>
    </row>
    <row r="116" spans="1:6" x14ac:dyDescent="0.25">
      <c r="A116" s="1">
        <v>40816</v>
      </c>
      <c r="B116" s="1">
        <v>41639</v>
      </c>
      <c r="C116">
        <v>9</v>
      </c>
      <c r="D116">
        <v>26223.902249999999</v>
      </c>
      <c r="E116">
        <v>58405.126409999997</v>
      </c>
      <c r="F116" s="1" t="str">
        <f t="shared" si="1"/>
        <v>201109</v>
      </c>
    </row>
    <row r="117" spans="1:6" x14ac:dyDescent="0.25">
      <c r="A117" s="1">
        <v>40816</v>
      </c>
      <c r="B117" s="1">
        <v>41729</v>
      </c>
      <c r="C117">
        <v>10</v>
      </c>
      <c r="D117">
        <v>25942.89704</v>
      </c>
      <c r="E117">
        <v>58405.126409999997</v>
      </c>
      <c r="F117" s="1" t="str">
        <f t="shared" si="1"/>
        <v>201109</v>
      </c>
    </row>
    <row r="118" spans="1:6" x14ac:dyDescent="0.25">
      <c r="A118" s="1">
        <v>40816</v>
      </c>
      <c r="B118" s="1">
        <v>41820</v>
      </c>
      <c r="C118">
        <v>11</v>
      </c>
      <c r="D118">
        <v>25952.434700000002</v>
      </c>
      <c r="E118">
        <v>58405.126409999997</v>
      </c>
      <c r="F118" s="1" t="str">
        <f t="shared" si="1"/>
        <v>201109</v>
      </c>
    </row>
    <row r="119" spans="1:6" x14ac:dyDescent="0.25">
      <c r="A119" s="1">
        <v>40816</v>
      </c>
      <c r="B119" s="1">
        <v>41912</v>
      </c>
      <c r="C119">
        <v>12</v>
      </c>
      <c r="D119">
        <v>25941.995470000002</v>
      </c>
      <c r="E119">
        <v>58405.126409999997</v>
      </c>
      <c r="F119" s="1" t="str">
        <f t="shared" si="1"/>
        <v>201109</v>
      </c>
    </row>
    <row r="120" spans="1:6" x14ac:dyDescent="0.25">
      <c r="A120" s="1">
        <v>40816</v>
      </c>
      <c r="B120" s="1">
        <v>42004</v>
      </c>
      <c r="C120">
        <v>13</v>
      </c>
      <c r="D120">
        <v>25940.097430000002</v>
      </c>
      <c r="E120">
        <v>58405.126409999997</v>
      </c>
      <c r="F120" s="1" t="str">
        <f t="shared" si="1"/>
        <v>201109</v>
      </c>
    </row>
    <row r="121" spans="1:6" x14ac:dyDescent="0.25">
      <c r="A121" s="1">
        <v>40908</v>
      </c>
      <c r="B121" s="1">
        <v>40908</v>
      </c>
      <c r="C121">
        <v>0</v>
      </c>
      <c r="D121">
        <v>21489.49596</v>
      </c>
      <c r="E121">
        <v>59911.596409999998</v>
      </c>
      <c r="F121" s="1" t="str">
        <f t="shared" si="1"/>
        <v>201112</v>
      </c>
    </row>
    <row r="122" spans="1:6" x14ac:dyDescent="0.25">
      <c r="A122" s="1">
        <v>40908</v>
      </c>
      <c r="B122" s="1">
        <v>40999</v>
      </c>
      <c r="C122">
        <v>1</v>
      </c>
      <c r="D122">
        <v>32918.535750000003</v>
      </c>
      <c r="E122">
        <v>59911.596409999998</v>
      </c>
      <c r="F122" s="1" t="str">
        <f t="shared" si="1"/>
        <v>201112</v>
      </c>
    </row>
    <row r="123" spans="1:6" x14ac:dyDescent="0.25">
      <c r="A123" s="1">
        <v>40908</v>
      </c>
      <c r="B123" s="1">
        <v>41090</v>
      </c>
      <c r="C123">
        <v>2</v>
      </c>
      <c r="D123">
        <v>32872.437039999997</v>
      </c>
      <c r="E123">
        <v>59911.596409999998</v>
      </c>
      <c r="F123" s="1" t="str">
        <f t="shared" si="1"/>
        <v>201112</v>
      </c>
    </row>
    <row r="124" spans="1:6" x14ac:dyDescent="0.25">
      <c r="A124" s="1">
        <v>40908</v>
      </c>
      <c r="B124" s="1">
        <v>41182</v>
      </c>
      <c r="C124">
        <v>3</v>
      </c>
      <c r="D124">
        <v>32830.063240000003</v>
      </c>
      <c r="E124">
        <v>59911.596409999998</v>
      </c>
      <c r="F124" s="1" t="str">
        <f t="shared" si="1"/>
        <v>201112</v>
      </c>
    </row>
    <row r="125" spans="1:6" x14ac:dyDescent="0.25">
      <c r="A125" s="1">
        <v>40908</v>
      </c>
      <c r="B125" s="1">
        <v>41274</v>
      </c>
      <c r="C125">
        <v>4</v>
      </c>
      <c r="D125">
        <v>32575.06122</v>
      </c>
      <c r="E125">
        <v>59911.596409999998</v>
      </c>
      <c r="F125" s="1" t="str">
        <f t="shared" si="1"/>
        <v>201112</v>
      </c>
    </row>
    <row r="126" spans="1:6" x14ac:dyDescent="0.25">
      <c r="A126" s="1">
        <v>40908</v>
      </c>
      <c r="B126" s="1">
        <v>41364</v>
      </c>
      <c r="C126">
        <v>5</v>
      </c>
      <c r="D126">
        <v>32552.94902</v>
      </c>
      <c r="E126">
        <v>59911.596409999998</v>
      </c>
      <c r="F126" s="1" t="str">
        <f t="shared" si="1"/>
        <v>201112</v>
      </c>
    </row>
    <row r="127" spans="1:6" x14ac:dyDescent="0.25">
      <c r="A127" s="1">
        <v>40908</v>
      </c>
      <c r="B127" s="1">
        <v>41455</v>
      </c>
      <c r="C127">
        <v>6</v>
      </c>
      <c r="D127">
        <v>32536.269970000001</v>
      </c>
      <c r="E127">
        <v>59911.596409999998</v>
      </c>
      <c r="F127" s="1" t="str">
        <f t="shared" si="1"/>
        <v>201112</v>
      </c>
    </row>
    <row r="128" spans="1:6" x14ac:dyDescent="0.25">
      <c r="A128" s="1">
        <v>40908</v>
      </c>
      <c r="B128" s="1">
        <v>41547</v>
      </c>
      <c r="C128">
        <v>7</v>
      </c>
      <c r="D128">
        <v>32443.526860000002</v>
      </c>
      <c r="E128">
        <v>59911.596409999998</v>
      </c>
      <c r="F128" s="1" t="str">
        <f t="shared" si="1"/>
        <v>201112</v>
      </c>
    </row>
    <row r="129" spans="1:6" x14ac:dyDescent="0.25">
      <c r="A129" s="1">
        <v>40908</v>
      </c>
      <c r="B129" s="1">
        <v>41639</v>
      </c>
      <c r="C129">
        <v>8</v>
      </c>
      <c r="D129">
        <v>32453.467860000001</v>
      </c>
      <c r="E129">
        <v>59911.596409999998</v>
      </c>
      <c r="F129" s="1" t="str">
        <f t="shared" si="1"/>
        <v>201112</v>
      </c>
    </row>
    <row r="130" spans="1:6" x14ac:dyDescent="0.25">
      <c r="A130" s="1">
        <v>40908</v>
      </c>
      <c r="B130" s="1">
        <v>41729</v>
      </c>
      <c r="C130">
        <v>9</v>
      </c>
      <c r="D130">
        <v>32324.495869999999</v>
      </c>
      <c r="E130">
        <v>59911.596409999998</v>
      </c>
      <c r="F130" s="1" t="str">
        <f t="shared" si="1"/>
        <v>201112</v>
      </c>
    </row>
    <row r="131" spans="1:6" x14ac:dyDescent="0.25">
      <c r="A131" s="1">
        <v>40908</v>
      </c>
      <c r="B131" s="1">
        <v>41820</v>
      </c>
      <c r="C131">
        <v>10</v>
      </c>
      <c r="D131">
        <v>32324.495869999999</v>
      </c>
      <c r="E131">
        <v>59911.596409999998</v>
      </c>
      <c r="F131" s="1" t="str">
        <f t="shared" ref="F131:F194" si="2">YEAR(A131)&amp;IF(LEN(MONTH(A131))=1,"0"&amp;MONTH(A131),MONTH(A131))</f>
        <v>201112</v>
      </c>
    </row>
    <row r="132" spans="1:6" x14ac:dyDescent="0.25">
      <c r="A132" s="1">
        <v>40908</v>
      </c>
      <c r="B132" s="1">
        <v>41912</v>
      </c>
      <c r="C132">
        <v>11</v>
      </c>
      <c r="D132">
        <v>32495.50951</v>
      </c>
      <c r="E132">
        <v>59911.596409999998</v>
      </c>
      <c r="F132" s="1" t="str">
        <f t="shared" si="2"/>
        <v>201112</v>
      </c>
    </row>
    <row r="133" spans="1:6" x14ac:dyDescent="0.25">
      <c r="A133" s="1">
        <v>40908</v>
      </c>
      <c r="B133" s="1">
        <v>42004</v>
      </c>
      <c r="C133">
        <v>12</v>
      </c>
      <c r="D133">
        <v>32474.15653</v>
      </c>
      <c r="E133">
        <v>59911.596409999998</v>
      </c>
      <c r="F133" s="1" t="str">
        <f t="shared" si="2"/>
        <v>201112</v>
      </c>
    </row>
    <row r="134" spans="1:6" x14ac:dyDescent="0.25">
      <c r="A134" s="1">
        <v>40999</v>
      </c>
      <c r="B134" s="1">
        <v>40999</v>
      </c>
      <c r="C134">
        <v>0</v>
      </c>
      <c r="D134">
        <v>18254.16372</v>
      </c>
      <c r="E134">
        <v>60339.49641</v>
      </c>
      <c r="F134" s="1" t="str">
        <f t="shared" si="2"/>
        <v>201203</v>
      </c>
    </row>
    <row r="135" spans="1:6" x14ac:dyDescent="0.25">
      <c r="A135" s="1">
        <v>40999</v>
      </c>
      <c r="B135" s="1">
        <v>41090</v>
      </c>
      <c r="C135">
        <v>1</v>
      </c>
      <c r="D135">
        <v>29871.29953</v>
      </c>
      <c r="E135">
        <v>60339.49641</v>
      </c>
      <c r="F135" s="1" t="str">
        <f t="shared" si="2"/>
        <v>201203</v>
      </c>
    </row>
    <row r="136" spans="1:6" x14ac:dyDescent="0.25">
      <c r="A136" s="1">
        <v>40999</v>
      </c>
      <c r="B136" s="1">
        <v>41182</v>
      </c>
      <c r="C136">
        <v>2</v>
      </c>
      <c r="D136">
        <v>30149.220420000001</v>
      </c>
      <c r="E136">
        <v>60339.49641</v>
      </c>
      <c r="F136" s="1" t="str">
        <f t="shared" si="2"/>
        <v>201203</v>
      </c>
    </row>
    <row r="137" spans="1:6" x14ac:dyDescent="0.25">
      <c r="A137" s="1">
        <v>40999</v>
      </c>
      <c r="B137" s="1">
        <v>41274</v>
      </c>
      <c r="C137">
        <v>3</v>
      </c>
      <c r="D137">
        <v>29904.396649999999</v>
      </c>
      <c r="E137">
        <v>60339.49641</v>
      </c>
      <c r="F137" s="1" t="str">
        <f t="shared" si="2"/>
        <v>201203</v>
      </c>
    </row>
    <row r="138" spans="1:6" x14ac:dyDescent="0.25">
      <c r="A138" s="1">
        <v>40999</v>
      </c>
      <c r="B138" s="1">
        <v>41364</v>
      </c>
      <c r="C138">
        <v>4</v>
      </c>
      <c r="D138">
        <v>30122.22077</v>
      </c>
      <c r="E138">
        <v>60339.49641</v>
      </c>
      <c r="F138" s="1" t="str">
        <f t="shared" si="2"/>
        <v>201203</v>
      </c>
    </row>
    <row r="139" spans="1:6" x14ac:dyDescent="0.25">
      <c r="A139" s="1">
        <v>40999</v>
      </c>
      <c r="B139" s="1">
        <v>41455</v>
      </c>
      <c r="C139">
        <v>5</v>
      </c>
      <c r="D139">
        <v>30281.72752</v>
      </c>
      <c r="E139">
        <v>60339.49641</v>
      </c>
      <c r="F139" s="1" t="str">
        <f t="shared" si="2"/>
        <v>201203</v>
      </c>
    </row>
    <row r="140" spans="1:6" x14ac:dyDescent="0.25">
      <c r="A140" s="1">
        <v>40999</v>
      </c>
      <c r="B140" s="1">
        <v>41547</v>
      </c>
      <c r="C140">
        <v>6</v>
      </c>
      <c r="D140">
        <v>30003.616829999999</v>
      </c>
      <c r="E140">
        <v>60339.49641</v>
      </c>
      <c r="F140" s="1" t="str">
        <f t="shared" si="2"/>
        <v>201203</v>
      </c>
    </row>
    <row r="141" spans="1:6" x14ac:dyDescent="0.25">
      <c r="A141" s="1">
        <v>40999</v>
      </c>
      <c r="B141" s="1">
        <v>41639</v>
      </c>
      <c r="C141">
        <v>7</v>
      </c>
      <c r="D141">
        <v>30047.31926</v>
      </c>
      <c r="E141">
        <v>60339.49641</v>
      </c>
      <c r="F141" s="1" t="str">
        <f t="shared" si="2"/>
        <v>201203</v>
      </c>
    </row>
    <row r="142" spans="1:6" x14ac:dyDescent="0.25">
      <c r="A142" s="1">
        <v>40999</v>
      </c>
      <c r="B142" s="1">
        <v>41729</v>
      </c>
      <c r="C142">
        <v>8</v>
      </c>
      <c r="D142">
        <v>29792.98155</v>
      </c>
      <c r="E142">
        <v>60339.49641</v>
      </c>
      <c r="F142" s="1" t="str">
        <f t="shared" si="2"/>
        <v>201203</v>
      </c>
    </row>
    <row r="143" spans="1:6" x14ac:dyDescent="0.25">
      <c r="A143" s="1">
        <v>40999</v>
      </c>
      <c r="B143" s="1">
        <v>41820</v>
      </c>
      <c r="C143">
        <v>9</v>
      </c>
      <c r="D143">
        <v>29747.97422</v>
      </c>
      <c r="E143">
        <v>60339.49641</v>
      </c>
      <c r="F143" s="1" t="str">
        <f t="shared" si="2"/>
        <v>201203</v>
      </c>
    </row>
    <row r="144" spans="1:6" x14ac:dyDescent="0.25">
      <c r="A144" s="1">
        <v>40999</v>
      </c>
      <c r="B144" s="1">
        <v>41912</v>
      </c>
      <c r="C144">
        <v>10</v>
      </c>
      <c r="D144">
        <v>29722.303189999999</v>
      </c>
      <c r="E144">
        <v>60339.49641</v>
      </c>
      <c r="F144" s="1" t="str">
        <f t="shared" si="2"/>
        <v>201203</v>
      </c>
    </row>
    <row r="145" spans="1:6" x14ac:dyDescent="0.25">
      <c r="A145" s="1">
        <v>40999</v>
      </c>
      <c r="B145" s="1">
        <v>42004</v>
      </c>
      <c r="C145">
        <v>11</v>
      </c>
      <c r="D145">
        <v>29755.305410000001</v>
      </c>
      <c r="E145">
        <v>60339.49641</v>
      </c>
      <c r="F145" s="1" t="str">
        <f t="shared" si="2"/>
        <v>201203</v>
      </c>
    </row>
    <row r="146" spans="1:6" x14ac:dyDescent="0.25">
      <c r="A146" s="1">
        <v>41090</v>
      </c>
      <c r="B146" s="1">
        <v>41090</v>
      </c>
      <c r="C146">
        <v>0</v>
      </c>
      <c r="D146">
        <v>21811.61752</v>
      </c>
      <c r="E146">
        <v>61308.49641</v>
      </c>
      <c r="F146" s="1" t="str">
        <f t="shared" si="2"/>
        <v>201206</v>
      </c>
    </row>
    <row r="147" spans="1:6" x14ac:dyDescent="0.25">
      <c r="A147" s="1">
        <v>41090</v>
      </c>
      <c r="B147" s="1">
        <v>41182</v>
      </c>
      <c r="C147">
        <v>1</v>
      </c>
      <c r="D147">
        <v>29825.699059999999</v>
      </c>
      <c r="E147">
        <v>61308.49641</v>
      </c>
      <c r="F147" s="1" t="str">
        <f t="shared" si="2"/>
        <v>201206</v>
      </c>
    </row>
    <row r="148" spans="1:6" x14ac:dyDescent="0.25">
      <c r="A148" s="1">
        <v>41090</v>
      </c>
      <c r="B148" s="1">
        <v>41274</v>
      </c>
      <c r="C148">
        <v>2</v>
      </c>
      <c r="D148">
        <v>28046.972160000001</v>
      </c>
      <c r="E148">
        <v>61308.49641</v>
      </c>
      <c r="F148" s="1" t="str">
        <f t="shared" si="2"/>
        <v>201206</v>
      </c>
    </row>
    <row r="149" spans="1:6" x14ac:dyDescent="0.25">
      <c r="A149" s="1">
        <v>41090</v>
      </c>
      <c r="B149" s="1">
        <v>41364</v>
      </c>
      <c r="C149">
        <v>3</v>
      </c>
      <c r="D149">
        <v>27959.59103</v>
      </c>
      <c r="E149">
        <v>61308.49641</v>
      </c>
      <c r="F149" s="1" t="str">
        <f t="shared" si="2"/>
        <v>201206</v>
      </c>
    </row>
    <row r="150" spans="1:6" x14ac:dyDescent="0.25">
      <c r="A150" s="1">
        <v>41090</v>
      </c>
      <c r="B150" s="1">
        <v>41455</v>
      </c>
      <c r="C150">
        <v>4</v>
      </c>
      <c r="D150">
        <v>28009.272290000001</v>
      </c>
      <c r="E150">
        <v>61308.49641</v>
      </c>
      <c r="F150" s="1" t="str">
        <f t="shared" si="2"/>
        <v>201206</v>
      </c>
    </row>
    <row r="151" spans="1:6" x14ac:dyDescent="0.25">
      <c r="A151" s="1">
        <v>41090</v>
      </c>
      <c r="B151" s="1">
        <v>41547</v>
      </c>
      <c r="C151">
        <v>5</v>
      </c>
      <c r="D151">
        <v>27812.516449999999</v>
      </c>
      <c r="E151">
        <v>61308.49641</v>
      </c>
      <c r="F151" s="1" t="str">
        <f t="shared" si="2"/>
        <v>201206</v>
      </c>
    </row>
    <row r="152" spans="1:6" x14ac:dyDescent="0.25">
      <c r="A152" s="1">
        <v>41090</v>
      </c>
      <c r="B152" s="1">
        <v>41639</v>
      </c>
      <c r="C152">
        <v>6</v>
      </c>
      <c r="D152">
        <v>27604.585879999999</v>
      </c>
      <c r="E152">
        <v>61308.49641</v>
      </c>
      <c r="F152" s="1" t="str">
        <f t="shared" si="2"/>
        <v>201206</v>
      </c>
    </row>
    <row r="153" spans="1:6" x14ac:dyDescent="0.25">
      <c r="A153" s="1">
        <v>41090</v>
      </c>
      <c r="B153" s="1">
        <v>41729</v>
      </c>
      <c r="C153">
        <v>7</v>
      </c>
      <c r="D153">
        <v>27430.535380000001</v>
      </c>
      <c r="E153">
        <v>61308.49641</v>
      </c>
      <c r="F153" s="1" t="str">
        <f t="shared" si="2"/>
        <v>201206</v>
      </c>
    </row>
    <row r="154" spans="1:6" x14ac:dyDescent="0.25">
      <c r="A154" s="1">
        <v>41090</v>
      </c>
      <c r="B154" s="1">
        <v>41820</v>
      </c>
      <c r="C154">
        <v>8</v>
      </c>
      <c r="D154">
        <v>27502.7559</v>
      </c>
      <c r="E154">
        <v>61308.49641</v>
      </c>
      <c r="F154" s="1" t="str">
        <f t="shared" si="2"/>
        <v>201206</v>
      </c>
    </row>
    <row r="155" spans="1:6" x14ac:dyDescent="0.25">
      <c r="A155" s="1">
        <v>41090</v>
      </c>
      <c r="B155" s="1">
        <v>41912</v>
      </c>
      <c r="C155">
        <v>9</v>
      </c>
      <c r="D155">
        <v>27206.969690000002</v>
      </c>
      <c r="E155">
        <v>61308.49641</v>
      </c>
      <c r="F155" s="1" t="str">
        <f t="shared" si="2"/>
        <v>201206</v>
      </c>
    </row>
    <row r="156" spans="1:6" x14ac:dyDescent="0.25">
      <c r="A156" s="1">
        <v>41090</v>
      </c>
      <c r="B156" s="1">
        <v>42004</v>
      </c>
      <c r="C156">
        <v>10</v>
      </c>
      <c r="D156">
        <v>27183.789840000001</v>
      </c>
      <c r="E156">
        <v>61308.49641</v>
      </c>
      <c r="F156" s="1" t="str">
        <f t="shared" si="2"/>
        <v>201206</v>
      </c>
    </row>
    <row r="157" spans="1:6" x14ac:dyDescent="0.25">
      <c r="A157" s="1">
        <v>41182</v>
      </c>
      <c r="B157" s="1">
        <v>41182</v>
      </c>
      <c r="C157">
        <v>0</v>
      </c>
      <c r="D157">
        <v>25062.323899999999</v>
      </c>
      <c r="E157">
        <v>60262.306409999997</v>
      </c>
      <c r="F157" s="1" t="str">
        <f t="shared" si="2"/>
        <v>201209</v>
      </c>
    </row>
    <row r="158" spans="1:6" x14ac:dyDescent="0.25">
      <c r="A158" s="1">
        <v>41182</v>
      </c>
      <c r="B158" s="1">
        <v>41274</v>
      </c>
      <c r="C158">
        <v>1</v>
      </c>
      <c r="D158">
        <v>35858.55629</v>
      </c>
      <c r="E158">
        <v>60262.306409999997</v>
      </c>
      <c r="F158" s="1" t="str">
        <f t="shared" si="2"/>
        <v>201209</v>
      </c>
    </row>
    <row r="159" spans="1:6" x14ac:dyDescent="0.25">
      <c r="A159" s="1">
        <v>41182</v>
      </c>
      <c r="B159" s="1">
        <v>41364</v>
      </c>
      <c r="C159">
        <v>2</v>
      </c>
      <c r="D159">
        <v>36143.499929999998</v>
      </c>
      <c r="E159">
        <v>60262.306409999997</v>
      </c>
      <c r="F159" s="1" t="str">
        <f t="shared" si="2"/>
        <v>201209</v>
      </c>
    </row>
    <row r="160" spans="1:6" x14ac:dyDescent="0.25">
      <c r="A160" s="1">
        <v>41182</v>
      </c>
      <c r="B160" s="1">
        <v>41455</v>
      </c>
      <c r="C160">
        <v>3</v>
      </c>
      <c r="D160">
        <v>35174.40683</v>
      </c>
      <c r="E160">
        <v>60262.306409999997</v>
      </c>
      <c r="F160" s="1" t="str">
        <f t="shared" si="2"/>
        <v>201209</v>
      </c>
    </row>
    <row r="161" spans="1:6" x14ac:dyDescent="0.25">
      <c r="A161" s="1">
        <v>41182</v>
      </c>
      <c r="B161" s="1">
        <v>41547</v>
      </c>
      <c r="C161">
        <v>4</v>
      </c>
      <c r="D161">
        <v>34845.025260000002</v>
      </c>
      <c r="E161">
        <v>60262.306409999997</v>
      </c>
      <c r="F161" s="1" t="str">
        <f t="shared" si="2"/>
        <v>201209</v>
      </c>
    </row>
    <row r="162" spans="1:6" x14ac:dyDescent="0.25">
      <c r="A162" s="1">
        <v>41182</v>
      </c>
      <c r="B162" s="1">
        <v>41639</v>
      </c>
      <c r="C162">
        <v>5</v>
      </c>
      <c r="D162">
        <v>34032.330869999998</v>
      </c>
      <c r="E162">
        <v>60262.306409999997</v>
      </c>
      <c r="F162" s="1" t="str">
        <f t="shared" si="2"/>
        <v>201209</v>
      </c>
    </row>
    <row r="163" spans="1:6" x14ac:dyDescent="0.25">
      <c r="A163" s="1">
        <v>41182</v>
      </c>
      <c r="B163" s="1">
        <v>41729</v>
      </c>
      <c r="C163">
        <v>6</v>
      </c>
      <c r="D163">
        <v>33252.093009999997</v>
      </c>
      <c r="E163">
        <v>60262.306409999997</v>
      </c>
      <c r="F163" s="1" t="str">
        <f t="shared" si="2"/>
        <v>201209</v>
      </c>
    </row>
    <row r="164" spans="1:6" x14ac:dyDescent="0.25">
      <c r="A164" s="1">
        <v>41182</v>
      </c>
      <c r="B164" s="1">
        <v>41820</v>
      </c>
      <c r="C164">
        <v>7</v>
      </c>
      <c r="D164">
        <v>33128.10338</v>
      </c>
      <c r="E164">
        <v>60262.306409999997</v>
      </c>
      <c r="F164" s="1" t="str">
        <f t="shared" si="2"/>
        <v>201209</v>
      </c>
    </row>
    <row r="165" spans="1:6" x14ac:dyDescent="0.25">
      <c r="A165" s="1">
        <v>41182</v>
      </c>
      <c r="B165" s="1">
        <v>41912</v>
      </c>
      <c r="C165">
        <v>8</v>
      </c>
      <c r="D165">
        <v>32078.794249999999</v>
      </c>
      <c r="E165">
        <v>60262.306409999997</v>
      </c>
      <c r="F165" s="1" t="str">
        <f t="shared" si="2"/>
        <v>201209</v>
      </c>
    </row>
    <row r="166" spans="1:6" x14ac:dyDescent="0.25">
      <c r="A166" s="1">
        <v>41182</v>
      </c>
      <c r="B166" s="1">
        <v>42004</v>
      </c>
      <c r="C166">
        <v>9</v>
      </c>
      <c r="D166">
        <v>32282.074619999999</v>
      </c>
      <c r="E166">
        <v>60262.306409999997</v>
      </c>
      <c r="F166" s="1" t="str">
        <f t="shared" si="2"/>
        <v>201209</v>
      </c>
    </row>
    <row r="167" spans="1:6" x14ac:dyDescent="0.25">
      <c r="A167" s="1">
        <v>41274</v>
      </c>
      <c r="B167" s="1">
        <v>41274</v>
      </c>
      <c r="C167">
        <v>0</v>
      </c>
      <c r="D167">
        <v>27478.65076</v>
      </c>
      <c r="E167">
        <v>60512.846409999998</v>
      </c>
      <c r="F167" s="1" t="str">
        <f t="shared" si="2"/>
        <v>201212</v>
      </c>
    </row>
    <row r="168" spans="1:6" x14ac:dyDescent="0.25">
      <c r="A168" s="1">
        <v>41274</v>
      </c>
      <c r="B168" s="1">
        <v>41364</v>
      </c>
      <c r="C168">
        <v>1</v>
      </c>
      <c r="D168">
        <v>41905.364130000002</v>
      </c>
      <c r="E168">
        <v>60512.846409999998</v>
      </c>
      <c r="F168" s="1" t="str">
        <f t="shared" si="2"/>
        <v>201212</v>
      </c>
    </row>
    <row r="169" spans="1:6" x14ac:dyDescent="0.25">
      <c r="A169" s="1">
        <v>41274</v>
      </c>
      <c r="B169" s="1">
        <v>41455</v>
      </c>
      <c r="C169">
        <v>2</v>
      </c>
      <c r="D169">
        <v>42866.651530000003</v>
      </c>
      <c r="E169">
        <v>60512.846409999998</v>
      </c>
      <c r="F169" s="1" t="str">
        <f t="shared" si="2"/>
        <v>201212</v>
      </c>
    </row>
    <row r="170" spans="1:6" x14ac:dyDescent="0.25">
      <c r="A170" s="1">
        <v>41274</v>
      </c>
      <c r="B170" s="1">
        <v>41547</v>
      </c>
      <c r="C170">
        <v>3</v>
      </c>
      <c r="D170">
        <v>42488.205560000002</v>
      </c>
      <c r="E170">
        <v>60512.846409999998</v>
      </c>
      <c r="F170" s="1" t="str">
        <f t="shared" si="2"/>
        <v>201212</v>
      </c>
    </row>
    <row r="171" spans="1:6" x14ac:dyDescent="0.25">
      <c r="A171" s="1">
        <v>41274</v>
      </c>
      <c r="B171" s="1">
        <v>41639</v>
      </c>
      <c r="C171">
        <v>4</v>
      </c>
      <c r="D171">
        <v>42368.367890000001</v>
      </c>
      <c r="E171">
        <v>60512.846409999998</v>
      </c>
      <c r="F171" s="1" t="str">
        <f t="shared" si="2"/>
        <v>201212</v>
      </c>
    </row>
    <row r="172" spans="1:6" x14ac:dyDescent="0.25">
      <c r="A172" s="1">
        <v>41274</v>
      </c>
      <c r="B172" s="1">
        <v>41729</v>
      </c>
      <c r="C172">
        <v>5</v>
      </c>
      <c r="D172">
        <v>41576.124909999999</v>
      </c>
      <c r="E172">
        <v>60512.846409999998</v>
      </c>
      <c r="F172" s="1" t="str">
        <f t="shared" si="2"/>
        <v>201212</v>
      </c>
    </row>
    <row r="173" spans="1:6" x14ac:dyDescent="0.25">
      <c r="A173" s="1">
        <v>41274</v>
      </c>
      <c r="B173" s="1">
        <v>41820</v>
      </c>
      <c r="C173">
        <v>6</v>
      </c>
      <c r="D173">
        <v>41451.423510000001</v>
      </c>
      <c r="E173">
        <v>60512.846409999998</v>
      </c>
      <c r="F173" s="1" t="str">
        <f t="shared" si="2"/>
        <v>201212</v>
      </c>
    </row>
    <row r="174" spans="1:6" x14ac:dyDescent="0.25">
      <c r="A174" s="1">
        <v>41274</v>
      </c>
      <c r="B174" s="1">
        <v>41912</v>
      </c>
      <c r="C174">
        <v>7</v>
      </c>
      <c r="D174">
        <v>40987.375820000001</v>
      </c>
      <c r="E174">
        <v>60512.846409999998</v>
      </c>
      <c r="F174" s="1" t="str">
        <f t="shared" si="2"/>
        <v>201212</v>
      </c>
    </row>
    <row r="175" spans="1:6" x14ac:dyDescent="0.25">
      <c r="A175" s="1">
        <v>41274</v>
      </c>
      <c r="B175" s="1">
        <v>42004</v>
      </c>
      <c r="C175">
        <v>8</v>
      </c>
      <c r="D175">
        <v>41403.853819999997</v>
      </c>
      <c r="E175">
        <v>60512.846409999998</v>
      </c>
      <c r="F175" s="1" t="str">
        <f t="shared" si="2"/>
        <v>201212</v>
      </c>
    </row>
    <row r="176" spans="1:6" x14ac:dyDescent="0.25">
      <c r="A176" s="1">
        <v>41364</v>
      </c>
      <c r="B176" s="1">
        <v>41364</v>
      </c>
      <c r="C176">
        <v>0</v>
      </c>
      <c r="D176">
        <v>26771.084200000001</v>
      </c>
      <c r="E176">
        <v>62668.156410000003</v>
      </c>
      <c r="F176" s="1" t="str">
        <f t="shared" si="2"/>
        <v>201303</v>
      </c>
    </row>
    <row r="177" spans="1:6" x14ac:dyDescent="0.25">
      <c r="A177" s="1">
        <v>41364</v>
      </c>
      <c r="B177" s="1">
        <v>41455</v>
      </c>
      <c r="C177">
        <v>1</v>
      </c>
      <c r="D177">
        <v>40483.564140000002</v>
      </c>
      <c r="E177">
        <v>62668.156410000003</v>
      </c>
      <c r="F177" s="1" t="str">
        <f t="shared" si="2"/>
        <v>201303</v>
      </c>
    </row>
    <row r="178" spans="1:6" x14ac:dyDescent="0.25">
      <c r="A178" s="1">
        <v>41364</v>
      </c>
      <c r="B178" s="1">
        <v>41547</v>
      </c>
      <c r="C178">
        <v>2</v>
      </c>
      <c r="D178">
        <v>39967.652439999998</v>
      </c>
      <c r="E178">
        <v>62668.156410000003</v>
      </c>
      <c r="F178" s="1" t="str">
        <f t="shared" si="2"/>
        <v>201303</v>
      </c>
    </row>
    <row r="179" spans="1:6" x14ac:dyDescent="0.25">
      <c r="A179" s="1">
        <v>41364</v>
      </c>
      <c r="B179" s="1">
        <v>41639</v>
      </c>
      <c r="C179">
        <v>3</v>
      </c>
      <c r="D179">
        <v>40057.572200000002</v>
      </c>
      <c r="E179">
        <v>62668.156410000003</v>
      </c>
      <c r="F179" s="1" t="str">
        <f t="shared" si="2"/>
        <v>201303</v>
      </c>
    </row>
    <row r="180" spans="1:6" x14ac:dyDescent="0.25">
      <c r="A180" s="1">
        <v>41364</v>
      </c>
      <c r="B180" s="1">
        <v>41729</v>
      </c>
      <c r="C180">
        <v>4</v>
      </c>
      <c r="D180">
        <v>40010.856630000002</v>
      </c>
      <c r="E180">
        <v>62668.156410000003</v>
      </c>
      <c r="F180" s="1" t="str">
        <f t="shared" si="2"/>
        <v>201303</v>
      </c>
    </row>
    <row r="181" spans="1:6" x14ac:dyDescent="0.25">
      <c r="A181" s="1">
        <v>41364</v>
      </c>
      <c r="B181" s="1">
        <v>41820</v>
      </c>
      <c r="C181">
        <v>5</v>
      </c>
      <c r="D181">
        <v>38822.587059999998</v>
      </c>
      <c r="E181">
        <v>62668.156410000003</v>
      </c>
      <c r="F181" s="1" t="str">
        <f t="shared" si="2"/>
        <v>201303</v>
      </c>
    </row>
    <row r="182" spans="1:6" x14ac:dyDescent="0.25">
      <c r="A182" s="1">
        <v>41364</v>
      </c>
      <c r="B182" s="1">
        <v>41912</v>
      </c>
      <c r="C182">
        <v>6</v>
      </c>
      <c r="D182">
        <v>38480.749589999999</v>
      </c>
      <c r="E182">
        <v>62668.156410000003</v>
      </c>
      <c r="F182" s="1" t="str">
        <f t="shared" si="2"/>
        <v>201303</v>
      </c>
    </row>
    <row r="183" spans="1:6" x14ac:dyDescent="0.25">
      <c r="A183" s="1">
        <v>41364</v>
      </c>
      <c r="B183" s="1">
        <v>42004</v>
      </c>
      <c r="C183">
        <v>7</v>
      </c>
      <c r="D183">
        <v>38506.088459999999</v>
      </c>
      <c r="E183">
        <v>62668.156410000003</v>
      </c>
      <c r="F183" s="1" t="str">
        <f t="shared" si="2"/>
        <v>201303</v>
      </c>
    </row>
    <row r="184" spans="1:6" x14ac:dyDescent="0.25">
      <c r="A184" s="1">
        <v>41455</v>
      </c>
      <c r="B184" s="1">
        <v>41455</v>
      </c>
      <c r="C184">
        <v>0</v>
      </c>
      <c r="D184">
        <v>20361.60787</v>
      </c>
      <c r="E184">
        <v>63109.326410000001</v>
      </c>
      <c r="F184" s="1" t="str">
        <f t="shared" si="2"/>
        <v>201306</v>
      </c>
    </row>
    <row r="185" spans="1:6" x14ac:dyDescent="0.25">
      <c r="A185" s="1">
        <v>41455</v>
      </c>
      <c r="B185" s="1">
        <v>41547</v>
      </c>
      <c r="C185">
        <v>1</v>
      </c>
      <c r="D185">
        <v>26804.964260000001</v>
      </c>
      <c r="E185">
        <v>63109.326410000001</v>
      </c>
      <c r="F185" s="1" t="str">
        <f t="shared" si="2"/>
        <v>201306</v>
      </c>
    </row>
    <row r="186" spans="1:6" x14ac:dyDescent="0.25">
      <c r="A186" s="1">
        <v>41455</v>
      </c>
      <c r="B186" s="1">
        <v>41639</v>
      </c>
      <c r="C186">
        <v>2</v>
      </c>
      <c r="D186">
        <v>26388.296460000001</v>
      </c>
      <c r="E186">
        <v>63109.326410000001</v>
      </c>
      <c r="F186" s="1" t="str">
        <f t="shared" si="2"/>
        <v>201306</v>
      </c>
    </row>
    <row r="187" spans="1:6" x14ac:dyDescent="0.25">
      <c r="A187" s="1">
        <v>41455</v>
      </c>
      <c r="B187" s="1">
        <v>41729</v>
      </c>
      <c r="C187">
        <v>3</v>
      </c>
      <c r="D187">
        <v>26454.277170000001</v>
      </c>
      <c r="E187">
        <v>63109.326410000001</v>
      </c>
      <c r="F187" s="1" t="str">
        <f t="shared" si="2"/>
        <v>201306</v>
      </c>
    </row>
    <row r="188" spans="1:6" x14ac:dyDescent="0.25">
      <c r="A188" s="1">
        <v>41455</v>
      </c>
      <c r="B188" s="1">
        <v>41820</v>
      </c>
      <c r="C188">
        <v>4</v>
      </c>
      <c r="D188">
        <v>26380.039980000001</v>
      </c>
      <c r="E188">
        <v>63109.326410000001</v>
      </c>
      <c r="F188" s="1" t="str">
        <f t="shared" si="2"/>
        <v>201306</v>
      </c>
    </row>
    <row r="189" spans="1:6" x14ac:dyDescent="0.25">
      <c r="A189" s="1">
        <v>41455</v>
      </c>
      <c r="B189" s="1">
        <v>41912</v>
      </c>
      <c r="C189">
        <v>5</v>
      </c>
      <c r="D189">
        <v>26321.22438</v>
      </c>
      <c r="E189">
        <v>63109.326410000001</v>
      </c>
      <c r="F189" s="1" t="str">
        <f t="shared" si="2"/>
        <v>201306</v>
      </c>
    </row>
    <row r="190" spans="1:6" x14ac:dyDescent="0.25">
      <c r="A190" s="1">
        <v>41455</v>
      </c>
      <c r="B190" s="1">
        <v>42004</v>
      </c>
      <c r="C190">
        <v>6</v>
      </c>
      <c r="D190">
        <v>26310.429260000001</v>
      </c>
      <c r="E190">
        <v>63109.326410000001</v>
      </c>
      <c r="F190" s="1" t="str">
        <f t="shared" si="2"/>
        <v>201306</v>
      </c>
    </row>
    <row r="191" spans="1:6" x14ac:dyDescent="0.25">
      <c r="A191" s="1">
        <v>41547</v>
      </c>
      <c r="B191" s="1">
        <v>41547</v>
      </c>
      <c r="C191">
        <v>0</v>
      </c>
      <c r="D191">
        <v>19766.45289</v>
      </c>
      <c r="E191">
        <v>62933.526409999999</v>
      </c>
      <c r="F191" s="1" t="str">
        <f t="shared" si="2"/>
        <v>201309</v>
      </c>
    </row>
    <row r="192" spans="1:6" x14ac:dyDescent="0.25">
      <c r="A192" s="1">
        <v>41547</v>
      </c>
      <c r="B192" s="1">
        <v>41639</v>
      </c>
      <c r="C192">
        <v>1</v>
      </c>
      <c r="D192">
        <v>29064.963589999999</v>
      </c>
      <c r="E192">
        <v>62933.526409999999</v>
      </c>
      <c r="F192" s="1" t="str">
        <f t="shared" si="2"/>
        <v>201309</v>
      </c>
    </row>
    <row r="193" spans="1:6" x14ac:dyDescent="0.25">
      <c r="A193" s="1">
        <v>41547</v>
      </c>
      <c r="B193" s="1">
        <v>41729</v>
      </c>
      <c r="C193">
        <v>2</v>
      </c>
      <c r="D193">
        <v>28266.90785</v>
      </c>
      <c r="E193">
        <v>62933.526409999999</v>
      </c>
      <c r="F193" s="1" t="str">
        <f t="shared" si="2"/>
        <v>201309</v>
      </c>
    </row>
    <row r="194" spans="1:6" x14ac:dyDescent="0.25">
      <c r="A194" s="1">
        <v>41547</v>
      </c>
      <c r="B194" s="1">
        <v>41820</v>
      </c>
      <c r="C194">
        <v>3</v>
      </c>
      <c r="D194">
        <v>27855.696919999998</v>
      </c>
      <c r="E194">
        <v>62933.526409999999</v>
      </c>
      <c r="F194" s="1" t="str">
        <f t="shared" si="2"/>
        <v>201309</v>
      </c>
    </row>
    <row r="195" spans="1:6" x14ac:dyDescent="0.25">
      <c r="A195" s="1">
        <v>41547</v>
      </c>
      <c r="B195" s="1">
        <v>41912</v>
      </c>
      <c r="C195">
        <v>4</v>
      </c>
      <c r="D195">
        <v>27475.281729999999</v>
      </c>
      <c r="E195">
        <v>62933.526409999999</v>
      </c>
      <c r="F195" s="1" t="str">
        <f t="shared" ref="F195:F211" si="3">YEAR(A195)&amp;IF(LEN(MONTH(A195))=1,"0"&amp;MONTH(A195),MONTH(A195))</f>
        <v>201309</v>
      </c>
    </row>
    <row r="196" spans="1:6" x14ac:dyDescent="0.25">
      <c r="A196" s="1">
        <v>41547</v>
      </c>
      <c r="B196" s="1">
        <v>42004</v>
      </c>
      <c r="C196">
        <v>5</v>
      </c>
      <c r="D196">
        <v>27402.4918</v>
      </c>
      <c r="E196">
        <v>62933.526409999999</v>
      </c>
      <c r="F196" s="1" t="str">
        <f t="shared" si="3"/>
        <v>201309</v>
      </c>
    </row>
    <row r="197" spans="1:6" x14ac:dyDescent="0.25">
      <c r="A197" s="1">
        <v>41639</v>
      </c>
      <c r="B197" s="1">
        <v>41639</v>
      </c>
      <c r="C197">
        <v>0</v>
      </c>
      <c r="D197">
        <v>27034.746040000002</v>
      </c>
      <c r="E197">
        <v>63694.446409999997</v>
      </c>
      <c r="F197" s="1" t="str">
        <f t="shared" si="3"/>
        <v>201312</v>
      </c>
    </row>
    <row r="198" spans="1:6" x14ac:dyDescent="0.25">
      <c r="A198" s="1">
        <v>41639</v>
      </c>
      <c r="B198" s="1">
        <v>41729</v>
      </c>
      <c r="C198">
        <v>1</v>
      </c>
      <c r="D198">
        <v>43552.722750000001</v>
      </c>
      <c r="E198">
        <v>63694.446409999997</v>
      </c>
      <c r="F198" s="1" t="str">
        <f t="shared" si="3"/>
        <v>201312</v>
      </c>
    </row>
    <row r="199" spans="1:6" x14ac:dyDescent="0.25">
      <c r="A199" s="1">
        <v>41639</v>
      </c>
      <c r="B199" s="1">
        <v>41820</v>
      </c>
      <c r="C199">
        <v>2</v>
      </c>
      <c r="D199">
        <v>45623.392319999999</v>
      </c>
      <c r="E199">
        <v>63694.446409999997</v>
      </c>
      <c r="F199" s="1" t="str">
        <f t="shared" si="3"/>
        <v>201312</v>
      </c>
    </row>
    <row r="200" spans="1:6" x14ac:dyDescent="0.25">
      <c r="A200" s="1">
        <v>41639</v>
      </c>
      <c r="B200" s="1">
        <v>41912</v>
      </c>
      <c r="C200">
        <v>3</v>
      </c>
      <c r="D200">
        <v>45858.20392</v>
      </c>
      <c r="E200">
        <v>63694.446409999997</v>
      </c>
      <c r="F200" s="1" t="str">
        <f t="shared" si="3"/>
        <v>201312</v>
      </c>
    </row>
    <row r="201" spans="1:6" x14ac:dyDescent="0.25">
      <c r="A201" s="1">
        <v>41639</v>
      </c>
      <c r="B201" s="1">
        <v>42004</v>
      </c>
      <c r="C201">
        <v>4</v>
      </c>
      <c r="D201">
        <v>45471.026949999999</v>
      </c>
      <c r="E201">
        <v>63694.446409999997</v>
      </c>
      <c r="F201" s="1" t="str">
        <f t="shared" si="3"/>
        <v>201312</v>
      </c>
    </row>
    <row r="202" spans="1:6" x14ac:dyDescent="0.25">
      <c r="A202" s="1">
        <v>41729</v>
      </c>
      <c r="B202" s="1">
        <v>41729</v>
      </c>
      <c r="C202">
        <v>0</v>
      </c>
      <c r="D202">
        <v>19600.136910000001</v>
      </c>
      <c r="E202">
        <v>64467.466410000001</v>
      </c>
      <c r="F202" s="1" t="str">
        <f t="shared" si="3"/>
        <v>201403</v>
      </c>
    </row>
    <row r="203" spans="1:6" x14ac:dyDescent="0.25">
      <c r="A203" s="1">
        <v>41729</v>
      </c>
      <c r="B203" s="1">
        <v>41820</v>
      </c>
      <c r="C203">
        <v>1</v>
      </c>
      <c r="D203">
        <v>35431.710229999997</v>
      </c>
      <c r="E203">
        <v>64467.466410000001</v>
      </c>
      <c r="F203" s="1" t="str">
        <f t="shared" si="3"/>
        <v>201403</v>
      </c>
    </row>
    <row r="204" spans="1:6" x14ac:dyDescent="0.25">
      <c r="A204" s="1">
        <v>41729</v>
      </c>
      <c r="B204" s="1">
        <v>41912</v>
      </c>
      <c r="C204">
        <v>2</v>
      </c>
      <c r="D204">
        <v>37810.954080000003</v>
      </c>
      <c r="E204">
        <v>64467.466410000001</v>
      </c>
      <c r="F204" s="1" t="str">
        <f t="shared" si="3"/>
        <v>201403</v>
      </c>
    </row>
    <row r="205" spans="1:6" x14ac:dyDescent="0.25">
      <c r="A205" s="1">
        <v>41729</v>
      </c>
      <c r="B205" s="1">
        <v>42004</v>
      </c>
      <c r="C205">
        <v>3</v>
      </c>
      <c r="D205">
        <v>38378.895879999996</v>
      </c>
      <c r="E205">
        <v>64467.466410000001</v>
      </c>
      <c r="F205" s="1" t="str">
        <f t="shared" si="3"/>
        <v>201403</v>
      </c>
    </row>
    <row r="206" spans="1:6" x14ac:dyDescent="0.25">
      <c r="A206" s="1">
        <v>41820</v>
      </c>
      <c r="B206" s="1">
        <v>41820</v>
      </c>
      <c r="C206">
        <v>0</v>
      </c>
      <c r="D206">
        <v>22220.455890000001</v>
      </c>
      <c r="E206">
        <v>66842.736409999998</v>
      </c>
      <c r="F206" s="1" t="str">
        <f t="shared" si="3"/>
        <v>201406</v>
      </c>
    </row>
    <row r="207" spans="1:6" x14ac:dyDescent="0.25">
      <c r="A207" s="1">
        <v>41820</v>
      </c>
      <c r="B207" s="1">
        <v>41912</v>
      </c>
      <c r="C207">
        <v>1</v>
      </c>
      <c r="D207">
        <v>35361.364029999997</v>
      </c>
      <c r="E207">
        <v>66842.736409999998</v>
      </c>
      <c r="F207" s="1" t="str">
        <f t="shared" si="3"/>
        <v>201406</v>
      </c>
    </row>
    <row r="208" spans="1:6" x14ac:dyDescent="0.25">
      <c r="A208" s="1">
        <v>41820</v>
      </c>
      <c r="B208" s="1">
        <v>42004</v>
      </c>
      <c r="C208">
        <v>2</v>
      </c>
      <c r="D208">
        <v>38685.951719999997</v>
      </c>
      <c r="E208">
        <v>66842.736409999998</v>
      </c>
      <c r="F208" s="1" t="str">
        <f t="shared" si="3"/>
        <v>201406</v>
      </c>
    </row>
    <row r="209" spans="1:6" x14ac:dyDescent="0.25">
      <c r="A209" s="1">
        <v>41912</v>
      </c>
      <c r="B209" s="1">
        <v>41912</v>
      </c>
      <c r="C209">
        <v>0</v>
      </c>
      <c r="D209">
        <v>22583.361639999999</v>
      </c>
      <c r="E209">
        <v>68593.776410000006</v>
      </c>
      <c r="F209" s="1" t="str">
        <f t="shared" si="3"/>
        <v>201409</v>
      </c>
    </row>
    <row r="210" spans="1:6" x14ac:dyDescent="0.25">
      <c r="A210" s="1">
        <v>41912</v>
      </c>
      <c r="B210" s="1">
        <v>42004</v>
      </c>
      <c r="C210">
        <v>1</v>
      </c>
      <c r="D210">
        <v>34819.306790000002</v>
      </c>
      <c r="E210">
        <v>68593.776410000006</v>
      </c>
      <c r="F210" s="1" t="str">
        <f t="shared" si="3"/>
        <v>201409</v>
      </c>
    </row>
    <row r="211" spans="1:6" x14ac:dyDescent="0.25">
      <c r="A211" s="1">
        <v>42004</v>
      </c>
      <c r="B211" s="1">
        <v>42004</v>
      </c>
      <c r="C211">
        <v>0</v>
      </c>
      <c r="D211">
        <v>25472.84679</v>
      </c>
      <c r="E211">
        <v>69620.506410000002</v>
      </c>
      <c r="F211" s="1" t="str">
        <f t="shared" si="3"/>
        <v>201412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11"/>
  <sheetViews>
    <sheetView workbookViewId="0">
      <selection activeCell="F1" sqref="F1:F211"/>
    </sheetView>
  </sheetViews>
  <sheetFormatPr defaultRowHeight="15" x14ac:dyDescent="0.25"/>
  <cols>
    <col min="1" max="1" width="10.7109375" bestFit="1" customWidth="1"/>
    <col min="2" max="2" width="13.140625" bestFit="1" customWidth="1"/>
    <col min="3" max="3" width="3.5703125" bestFit="1" customWidth="1"/>
    <col min="4" max="4" width="12" bestFit="1" customWidth="1"/>
    <col min="6" max="6" width="7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</row>
    <row r="2" spans="1:6" x14ac:dyDescent="0.25">
      <c r="A2" s="1">
        <v>40268</v>
      </c>
      <c r="B2" s="1">
        <v>42094</v>
      </c>
      <c r="C2">
        <v>20</v>
      </c>
      <c r="D2">
        <v>24096.955709999998</v>
      </c>
      <c r="E2">
        <v>0</v>
      </c>
      <c r="F2" s="1" t="str">
        <f>YEAR(A2)&amp;IF(LEN(MONTH(A2))=1,"0"&amp;MONTH(A2),MONTH(A2))</f>
        <v>201003</v>
      </c>
    </row>
    <row r="3" spans="1:6" x14ac:dyDescent="0.25">
      <c r="A3" s="1">
        <v>40359</v>
      </c>
      <c r="B3" s="1">
        <v>42094</v>
      </c>
      <c r="C3">
        <v>19</v>
      </c>
      <c r="D3">
        <v>22592.40107</v>
      </c>
      <c r="E3">
        <v>0</v>
      </c>
      <c r="F3" s="1" t="str">
        <f t="shared" ref="F3:F66" si="0">YEAR(A3)&amp;IF(LEN(MONTH(A3))=1,"0"&amp;MONTH(A3),MONTH(A3))</f>
        <v>201006</v>
      </c>
    </row>
    <row r="4" spans="1:6" x14ac:dyDescent="0.25">
      <c r="A4" s="1">
        <v>40359</v>
      </c>
      <c r="B4" s="1">
        <v>42185</v>
      </c>
      <c r="C4">
        <v>20</v>
      </c>
      <c r="D4">
        <v>22589.886159999998</v>
      </c>
      <c r="E4">
        <v>0</v>
      </c>
      <c r="F4" s="1" t="str">
        <f t="shared" si="0"/>
        <v>201006</v>
      </c>
    </row>
    <row r="5" spans="1:6" x14ac:dyDescent="0.25">
      <c r="A5" s="1">
        <v>40451</v>
      </c>
      <c r="B5" s="1">
        <v>42094</v>
      </c>
      <c r="C5">
        <v>18</v>
      </c>
      <c r="D5">
        <v>17754.29048</v>
      </c>
      <c r="E5">
        <v>0</v>
      </c>
      <c r="F5" s="1" t="str">
        <f t="shared" si="0"/>
        <v>201009</v>
      </c>
    </row>
    <row r="6" spans="1:6" x14ac:dyDescent="0.25">
      <c r="A6" s="1">
        <v>40451</v>
      </c>
      <c r="B6" s="1">
        <v>42185</v>
      </c>
      <c r="C6">
        <v>19</v>
      </c>
      <c r="D6">
        <v>17754.29048</v>
      </c>
      <c r="E6">
        <v>0</v>
      </c>
      <c r="F6" s="1" t="str">
        <f t="shared" si="0"/>
        <v>201009</v>
      </c>
    </row>
    <row r="7" spans="1:6" x14ac:dyDescent="0.25">
      <c r="A7" s="1">
        <v>40451</v>
      </c>
      <c r="B7" s="1">
        <v>42277</v>
      </c>
      <c r="C7">
        <v>20</v>
      </c>
      <c r="D7">
        <v>17754.29048</v>
      </c>
      <c r="E7">
        <v>0</v>
      </c>
      <c r="F7" s="1" t="str">
        <f t="shared" si="0"/>
        <v>201009</v>
      </c>
    </row>
    <row r="8" spans="1:6" x14ac:dyDescent="0.25">
      <c r="A8" s="1">
        <v>40543</v>
      </c>
      <c r="B8" s="1">
        <v>42094</v>
      </c>
      <c r="C8">
        <v>17</v>
      </c>
      <c r="D8">
        <v>23829.94857</v>
      </c>
      <c r="E8">
        <v>0</v>
      </c>
      <c r="F8" s="1" t="str">
        <f t="shared" si="0"/>
        <v>201012</v>
      </c>
    </row>
    <row r="9" spans="1:6" x14ac:dyDescent="0.25">
      <c r="A9" s="1">
        <v>40543</v>
      </c>
      <c r="B9" s="1">
        <v>42185</v>
      </c>
      <c r="C9">
        <v>18</v>
      </c>
      <c r="D9">
        <v>23829.94857</v>
      </c>
      <c r="E9">
        <v>0</v>
      </c>
      <c r="F9" s="1" t="str">
        <f t="shared" si="0"/>
        <v>201012</v>
      </c>
    </row>
    <row r="10" spans="1:6" x14ac:dyDescent="0.25">
      <c r="A10" s="1">
        <v>40543</v>
      </c>
      <c r="B10" s="1">
        <v>42277</v>
      </c>
      <c r="C10">
        <v>19</v>
      </c>
      <c r="D10">
        <v>23828.50131</v>
      </c>
      <c r="E10">
        <v>0</v>
      </c>
      <c r="F10" s="1" t="str">
        <f t="shared" si="0"/>
        <v>201012</v>
      </c>
    </row>
    <row r="11" spans="1:6" x14ac:dyDescent="0.25">
      <c r="A11" s="1">
        <v>40543</v>
      </c>
      <c r="B11" s="1">
        <v>42369</v>
      </c>
      <c r="C11">
        <v>20</v>
      </c>
      <c r="D11">
        <v>23774.359639999999</v>
      </c>
      <c r="E11">
        <v>0</v>
      </c>
      <c r="F11" s="1" t="str">
        <f t="shared" si="0"/>
        <v>201012</v>
      </c>
    </row>
    <row r="12" spans="1:6" x14ac:dyDescent="0.25">
      <c r="A12" s="1">
        <v>40633</v>
      </c>
      <c r="B12" s="1">
        <v>42094</v>
      </c>
      <c r="C12">
        <v>16</v>
      </c>
      <c r="D12">
        <v>26000.573810000002</v>
      </c>
      <c r="E12">
        <v>0</v>
      </c>
      <c r="F12" s="1" t="str">
        <f t="shared" si="0"/>
        <v>201103</v>
      </c>
    </row>
    <row r="13" spans="1:6" x14ac:dyDescent="0.25">
      <c r="A13" s="1">
        <v>40633</v>
      </c>
      <c r="B13" s="1">
        <v>42185</v>
      </c>
      <c r="C13">
        <v>17</v>
      </c>
      <c r="D13">
        <v>26000.573810000002</v>
      </c>
      <c r="E13">
        <v>0</v>
      </c>
      <c r="F13" s="1" t="str">
        <f t="shared" si="0"/>
        <v>201103</v>
      </c>
    </row>
    <row r="14" spans="1:6" x14ac:dyDescent="0.25">
      <c r="A14" s="1">
        <v>40633</v>
      </c>
      <c r="B14" s="1">
        <v>42277</v>
      </c>
      <c r="C14">
        <v>18</v>
      </c>
      <c r="D14">
        <v>26000.573810000002</v>
      </c>
      <c r="E14">
        <v>0</v>
      </c>
      <c r="F14" s="1" t="str">
        <f t="shared" si="0"/>
        <v>201103</v>
      </c>
    </row>
    <row r="15" spans="1:6" x14ac:dyDescent="0.25">
      <c r="A15" s="1">
        <v>40633</v>
      </c>
      <c r="B15" s="1">
        <v>42369</v>
      </c>
      <c r="C15">
        <v>19</v>
      </c>
      <c r="D15">
        <v>26000.573810000002</v>
      </c>
      <c r="E15">
        <v>0</v>
      </c>
      <c r="F15" s="1" t="str">
        <f t="shared" si="0"/>
        <v>201103</v>
      </c>
    </row>
    <row r="16" spans="1:6" x14ac:dyDescent="0.25">
      <c r="A16" s="1">
        <v>40633</v>
      </c>
      <c r="B16" s="1">
        <v>42460</v>
      </c>
      <c r="C16">
        <v>20</v>
      </c>
      <c r="D16">
        <v>26000.573810000002</v>
      </c>
      <c r="E16">
        <v>0</v>
      </c>
      <c r="F16" s="1" t="str">
        <f t="shared" si="0"/>
        <v>201103</v>
      </c>
    </row>
    <row r="17" spans="1:6" x14ac:dyDescent="0.25">
      <c r="A17" s="1">
        <v>40724</v>
      </c>
      <c r="B17" s="1">
        <v>42094</v>
      </c>
      <c r="C17">
        <v>15</v>
      </c>
      <c r="D17">
        <v>22062.420119999999</v>
      </c>
      <c r="E17">
        <v>0</v>
      </c>
      <c r="F17" s="1" t="str">
        <f t="shared" si="0"/>
        <v>201106</v>
      </c>
    </row>
    <row r="18" spans="1:6" x14ac:dyDescent="0.25">
      <c r="A18" s="1">
        <v>40724</v>
      </c>
      <c r="B18" s="1">
        <v>42185</v>
      </c>
      <c r="C18">
        <v>16</v>
      </c>
      <c r="D18">
        <v>22062.420119999999</v>
      </c>
      <c r="E18">
        <v>0</v>
      </c>
      <c r="F18" s="1" t="str">
        <f t="shared" si="0"/>
        <v>201106</v>
      </c>
    </row>
    <row r="19" spans="1:6" x14ac:dyDescent="0.25">
      <c r="A19" s="1">
        <v>40724</v>
      </c>
      <c r="B19" s="1">
        <v>42277</v>
      </c>
      <c r="C19">
        <v>17</v>
      </c>
      <c r="D19">
        <v>22062.420119999999</v>
      </c>
      <c r="E19">
        <v>0</v>
      </c>
      <c r="F19" s="1" t="str">
        <f t="shared" si="0"/>
        <v>201106</v>
      </c>
    </row>
    <row r="20" spans="1:6" x14ac:dyDescent="0.25">
      <c r="A20" s="1">
        <v>40724</v>
      </c>
      <c r="B20" s="1">
        <v>42369</v>
      </c>
      <c r="C20">
        <v>18</v>
      </c>
      <c r="D20">
        <v>22062.420119999999</v>
      </c>
      <c r="E20">
        <v>0</v>
      </c>
      <c r="F20" s="1" t="str">
        <f t="shared" si="0"/>
        <v>201106</v>
      </c>
    </row>
    <row r="21" spans="1:6" x14ac:dyDescent="0.25">
      <c r="A21" s="1">
        <v>40724</v>
      </c>
      <c r="B21" s="1">
        <v>42460</v>
      </c>
      <c r="C21">
        <v>19</v>
      </c>
      <c r="D21">
        <v>22062.420119999999</v>
      </c>
      <c r="E21">
        <v>0</v>
      </c>
      <c r="F21" s="1" t="str">
        <f t="shared" si="0"/>
        <v>201106</v>
      </c>
    </row>
    <row r="22" spans="1:6" x14ac:dyDescent="0.25">
      <c r="A22" s="1">
        <v>40724</v>
      </c>
      <c r="B22" s="1">
        <v>42551</v>
      </c>
      <c r="C22">
        <v>20</v>
      </c>
      <c r="D22">
        <v>22062.420119999999</v>
      </c>
      <c r="E22">
        <v>0</v>
      </c>
      <c r="F22" s="1" t="str">
        <f t="shared" si="0"/>
        <v>201106</v>
      </c>
    </row>
    <row r="23" spans="1:6" x14ac:dyDescent="0.25">
      <c r="A23" s="1">
        <v>40816</v>
      </c>
      <c r="B23" s="1">
        <v>42094</v>
      </c>
      <c r="C23">
        <v>14</v>
      </c>
      <c r="D23">
        <v>25940.097430000002</v>
      </c>
      <c r="E23">
        <v>0</v>
      </c>
      <c r="F23" s="1" t="str">
        <f t="shared" si="0"/>
        <v>201109</v>
      </c>
    </row>
    <row r="24" spans="1:6" x14ac:dyDescent="0.25">
      <c r="A24" s="1">
        <v>40816</v>
      </c>
      <c r="B24" s="1">
        <v>42185</v>
      </c>
      <c r="C24">
        <v>15</v>
      </c>
      <c r="D24">
        <v>25940.097430000002</v>
      </c>
      <c r="E24">
        <v>0</v>
      </c>
      <c r="F24" s="1" t="str">
        <f t="shared" si="0"/>
        <v>201109</v>
      </c>
    </row>
    <row r="25" spans="1:6" x14ac:dyDescent="0.25">
      <c r="A25" s="1">
        <v>40816</v>
      </c>
      <c r="B25" s="1">
        <v>42277</v>
      </c>
      <c r="C25">
        <v>16</v>
      </c>
      <c r="D25">
        <v>25940.097430000002</v>
      </c>
      <c r="E25">
        <v>0</v>
      </c>
      <c r="F25" s="1" t="str">
        <f t="shared" si="0"/>
        <v>201109</v>
      </c>
    </row>
    <row r="26" spans="1:6" x14ac:dyDescent="0.25">
      <c r="A26" s="1">
        <v>40816</v>
      </c>
      <c r="B26" s="1">
        <v>42369</v>
      </c>
      <c r="C26">
        <v>17</v>
      </c>
      <c r="D26">
        <v>25940.097430000002</v>
      </c>
      <c r="E26">
        <v>0</v>
      </c>
      <c r="F26" s="1" t="str">
        <f t="shared" si="0"/>
        <v>201109</v>
      </c>
    </row>
    <row r="27" spans="1:6" x14ac:dyDescent="0.25">
      <c r="A27" s="1">
        <v>40816</v>
      </c>
      <c r="B27" s="1">
        <v>42460</v>
      </c>
      <c r="C27">
        <v>18</v>
      </c>
      <c r="D27">
        <v>25927.688969999999</v>
      </c>
      <c r="E27">
        <v>0</v>
      </c>
      <c r="F27" s="1" t="str">
        <f t="shared" si="0"/>
        <v>201109</v>
      </c>
    </row>
    <row r="28" spans="1:6" x14ac:dyDescent="0.25">
      <c r="A28" s="1">
        <v>40816</v>
      </c>
      <c r="B28" s="1">
        <v>42551</v>
      </c>
      <c r="C28">
        <v>19</v>
      </c>
      <c r="D28">
        <v>25921.44916</v>
      </c>
      <c r="E28">
        <v>0</v>
      </c>
      <c r="F28" s="1" t="str">
        <f t="shared" si="0"/>
        <v>201109</v>
      </c>
    </row>
    <row r="29" spans="1:6" x14ac:dyDescent="0.25">
      <c r="A29" s="1">
        <v>40816</v>
      </c>
      <c r="B29" s="1">
        <v>42643</v>
      </c>
      <c r="C29">
        <v>20</v>
      </c>
      <c r="D29">
        <v>25931.959569999999</v>
      </c>
      <c r="E29">
        <v>0</v>
      </c>
      <c r="F29" s="1" t="str">
        <f t="shared" si="0"/>
        <v>201109</v>
      </c>
    </row>
    <row r="30" spans="1:6" x14ac:dyDescent="0.25">
      <c r="A30" s="1">
        <v>40908</v>
      </c>
      <c r="B30" s="1">
        <v>42094</v>
      </c>
      <c r="C30">
        <v>13</v>
      </c>
      <c r="D30">
        <v>32463.954549999999</v>
      </c>
      <c r="E30">
        <v>0</v>
      </c>
      <c r="F30" s="1" t="str">
        <f t="shared" si="0"/>
        <v>201112</v>
      </c>
    </row>
    <row r="31" spans="1:6" x14ac:dyDescent="0.25">
      <c r="A31" s="1">
        <v>40908</v>
      </c>
      <c r="B31" s="1">
        <v>42185</v>
      </c>
      <c r="C31">
        <v>14</v>
      </c>
      <c r="D31">
        <v>32463.954549999999</v>
      </c>
      <c r="E31">
        <v>0</v>
      </c>
      <c r="F31" s="1" t="str">
        <f t="shared" si="0"/>
        <v>201112</v>
      </c>
    </row>
    <row r="32" spans="1:6" x14ac:dyDescent="0.25">
      <c r="A32" s="1">
        <v>40908</v>
      </c>
      <c r="B32" s="1">
        <v>42277</v>
      </c>
      <c r="C32">
        <v>15</v>
      </c>
      <c r="D32">
        <v>32463.954549999999</v>
      </c>
      <c r="E32">
        <v>0</v>
      </c>
      <c r="F32" s="1" t="str">
        <f t="shared" si="0"/>
        <v>201112</v>
      </c>
    </row>
    <row r="33" spans="1:6" x14ac:dyDescent="0.25">
      <c r="A33" s="1">
        <v>40908</v>
      </c>
      <c r="B33" s="1">
        <v>42369</v>
      </c>
      <c r="C33">
        <v>16</v>
      </c>
      <c r="D33">
        <v>32463.954549999999</v>
      </c>
      <c r="E33">
        <v>0</v>
      </c>
      <c r="F33" s="1" t="str">
        <f t="shared" si="0"/>
        <v>201112</v>
      </c>
    </row>
    <row r="34" spans="1:6" x14ac:dyDescent="0.25">
      <c r="A34" s="1">
        <v>40908</v>
      </c>
      <c r="B34" s="1">
        <v>42460</v>
      </c>
      <c r="C34">
        <v>17</v>
      </c>
      <c r="D34">
        <v>32463.954549999999</v>
      </c>
      <c r="E34">
        <v>0</v>
      </c>
      <c r="F34" s="1" t="str">
        <f t="shared" si="0"/>
        <v>201112</v>
      </c>
    </row>
    <row r="35" spans="1:6" x14ac:dyDescent="0.25">
      <c r="A35" s="1">
        <v>40908</v>
      </c>
      <c r="B35" s="1">
        <v>42551</v>
      </c>
      <c r="C35">
        <v>18</v>
      </c>
      <c r="D35">
        <v>32463.954549999999</v>
      </c>
      <c r="E35">
        <v>0</v>
      </c>
      <c r="F35" s="1" t="str">
        <f t="shared" si="0"/>
        <v>201112</v>
      </c>
    </row>
    <row r="36" spans="1:6" x14ac:dyDescent="0.25">
      <c r="A36" s="1">
        <v>40908</v>
      </c>
      <c r="B36" s="1">
        <v>42643</v>
      </c>
      <c r="C36">
        <v>19</v>
      </c>
      <c r="D36">
        <v>32463.954549999999</v>
      </c>
      <c r="E36">
        <v>0</v>
      </c>
      <c r="F36" s="1" t="str">
        <f t="shared" si="0"/>
        <v>201112</v>
      </c>
    </row>
    <row r="37" spans="1:6" x14ac:dyDescent="0.25">
      <c r="A37" s="1">
        <v>40908</v>
      </c>
      <c r="B37" s="1">
        <v>42735</v>
      </c>
      <c r="C37">
        <v>20</v>
      </c>
      <c r="D37">
        <v>32463.954549999999</v>
      </c>
      <c r="E37">
        <v>0</v>
      </c>
      <c r="F37" s="1" t="str">
        <f t="shared" si="0"/>
        <v>201112</v>
      </c>
    </row>
    <row r="38" spans="1:6" x14ac:dyDescent="0.25">
      <c r="A38" s="1">
        <v>40999</v>
      </c>
      <c r="B38" s="1">
        <v>42094</v>
      </c>
      <c r="C38">
        <v>12</v>
      </c>
      <c r="D38">
        <v>29765.697189999999</v>
      </c>
      <c r="E38">
        <v>0</v>
      </c>
      <c r="F38" s="1" t="str">
        <f t="shared" si="0"/>
        <v>201203</v>
      </c>
    </row>
    <row r="39" spans="1:6" x14ac:dyDescent="0.25">
      <c r="A39" s="1">
        <v>40999</v>
      </c>
      <c r="B39" s="1">
        <v>42185</v>
      </c>
      <c r="C39">
        <v>13</v>
      </c>
      <c r="D39">
        <v>29764.653259999999</v>
      </c>
      <c r="E39">
        <v>0</v>
      </c>
      <c r="F39" s="1" t="str">
        <f t="shared" si="0"/>
        <v>201203</v>
      </c>
    </row>
    <row r="40" spans="1:6" x14ac:dyDescent="0.25">
      <c r="A40" s="1">
        <v>40999</v>
      </c>
      <c r="B40" s="1">
        <v>42277</v>
      </c>
      <c r="C40">
        <v>14</v>
      </c>
      <c r="D40">
        <v>29763.63307</v>
      </c>
      <c r="E40">
        <v>0</v>
      </c>
      <c r="F40" s="1" t="str">
        <f t="shared" si="0"/>
        <v>201203</v>
      </c>
    </row>
    <row r="41" spans="1:6" x14ac:dyDescent="0.25">
      <c r="A41" s="1">
        <v>40999</v>
      </c>
      <c r="B41" s="1">
        <v>42369</v>
      </c>
      <c r="C41">
        <v>15</v>
      </c>
      <c r="D41">
        <v>29763.63307</v>
      </c>
      <c r="E41">
        <v>0</v>
      </c>
      <c r="F41" s="1" t="str">
        <f t="shared" si="0"/>
        <v>201203</v>
      </c>
    </row>
    <row r="42" spans="1:6" x14ac:dyDescent="0.25">
      <c r="A42" s="1">
        <v>40999</v>
      </c>
      <c r="B42" s="1">
        <v>42460</v>
      </c>
      <c r="C42">
        <v>16</v>
      </c>
      <c r="D42">
        <v>29763.63307</v>
      </c>
      <c r="E42">
        <v>0</v>
      </c>
      <c r="F42" s="1" t="str">
        <f t="shared" si="0"/>
        <v>201203</v>
      </c>
    </row>
    <row r="43" spans="1:6" x14ac:dyDescent="0.25">
      <c r="A43" s="1">
        <v>40999</v>
      </c>
      <c r="B43" s="1">
        <v>42551</v>
      </c>
      <c r="C43">
        <v>17</v>
      </c>
      <c r="D43">
        <v>29763.63307</v>
      </c>
      <c r="E43">
        <v>0</v>
      </c>
      <c r="F43" s="1" t="str">
        <f t="shared" si="0"/>
        <v>201203</v>
      </c>
    </row>
    <row r="44" spans="1:6" x14ac:dyDescent="0.25">
      <c r="A44" s="1">
        <v>40999</v>
      </c>
      <c r="B44" s="1">
        <v>42643</v>
      </c>
      <c r="C44">
        <v>18</v>
      </c>
      <c r="D44">
        <v>29759.908159999999</v>
      </c>
      <c r="E44">
        <v>0</v>
      </c>
      <c r="F44" s="1" t="str">
        <f t="shared" si="0"/>
        <v>201203</v>
      </c>
    </row>
    <row r="45" spans="1:6" x14ac:dyDescent="0.25">
      <c r="A45" s="1">
        <v>40999</v>
      </c>
      <c r="B45" s="1">
        <v>42735</v>
      </c>
      <c r="C45">
        <v>19</v>
      </c>
      <c r="D45">
        <v>29759.908159999999</v>
      </c>
      <c r="E45">
        <v>0</v>
      </c>
      <c r="F45" s="1" t="str">
        <f t="shared" si="0"/>
        <v>201203</v>
      </c>
    </row>
    <row r="46" spans="1:6" x14ac:dyDescent="0.25">
      <c r="A46" s="1">
        <v>40999</v>
      </c>
      <c r="B46" s="1">
        <v>42825</v>
      </c>
      <c r="C46">
        <v>20</v>
      </c>
      <c r="D46">
        <v>29759.908159999999</v>
      </c>
      <c r="E46">
        <v>0</v>
      </c>
      <c r="F46" s="1" t="str">
        <f t="shared" si="0"/>
        <v>201203</v>
      </c>
    </row>
    <row r="47" spans="1:6" x14ac:dyDescent="0.25">
      <c r="A47" s="1">
        <v>41090</v>
      </c>
      <c r="B47" s="1">
        <v>42094</v>
      </c>
      <c r="C47">
        <v>11</v>
      </c>
      <c r="D47">
        <v>27184.003369999999</v>
      </c>
      <c r="E47">
        <v>0</v>
      </c>
      <c r="F47" s="1" t="str">
        <f t="shared" si="0"/>
        <v>201206</v>
      </c>
    </row>
    <row r="48" spans="1:6" x14ac:dyDescent="0.25">
      <c r="A48" s="1">
        <v>41090</v>
      </c>
      <c r="B48" s="1">
        <v>42185</v>
      </c>
      <c r="C48">
        <v>12</v>
      </c>
      <c r="D48">
        <v>27184.003369999999</v>
      </c>
      <c r="E48">
        <v>0</v>
      </c>
      <c r="F48" s="1" t="str">
        <f t="shared" si="0"/>
        <v>201206</v>
      </c>
    </row>
    <row r="49" spans="1:6" x14ac:dyDescent="0.25">
      <c r="A49" s="1">
        <v>41090</v>
      </c>
      <c r="B49" s="1">
        <v>42277</v>
      </c>
      <c r="C49">
        <v>13</v>
      </c>
      <c r="D49">
        <v>27184.003369999999</v>
      </c>
      <c r="E49">
        <v>0</v>
      </c>
      <c r="F49" s="1" t="str">
        <f t="shared" si="0"/>
        <v>201206</v>
      </c>
    </row>
    <row r="50" spans="1:6" x14ac:dyDescent="0.25">
      <c r="A50" s="1">
        <v>41090</v>
      </c>
      <c r="B50" s="1">
        <v>42369</v>
      </c>
      <c r="C50">
        <v>14</v>
      </c>
      <c r="D50">
        <v>27043.738020000001</v>
      </c>
      <c r="E50">
        <v>0</v>
      </c>
      <c r="F50" s="1" t="str">
        <f t="shared" si="0"/>
        <v>201206</v>
      </c>
    </row>
    <row r="51" spans="1:6" x14ac:dyDescent="0.25">
      <c r="A51" s="1">
        <v>41090</v>
      </c>
      <c r="B51" s="1">
        <v>42460</v>
      </c>
      <c r="C51">
        <v>15</v>
      </c>
      <c r="D51">
        <v>27043.738020000001</v>
      </c>
      <c r="E51">
        <v>0</v>
      </c>
      <c r="F51" s="1" t="str">
        <f t="shared" si="0"/>
        <v>201206</v>
      </c>
    </row>
    <row r="52" spans="1:6" x14ac:dyDescent="0.25">
      <c r="A52" s="1">
        <v>41090</v>
      </c>
      <c r="B52" s="1">
        <v>42551</v>
      </c>
      <c r="C52">
        <v>16</v>
      </c>
      <c r="D52">
        <v>27043.738020000001</v>
      </c>
      <c r="E52">
        <v>0</v>
      </c>
      <c r="F52" s="1" t="str">
        <f t="shared" si="0"/>
        <v>201206</v>
      </c>
    </row>
    <row r="53" spans="1:6" x14ac:dyDescent="0.25">
      <c r="A53" s="1">
        <v>41090</v>
      </c>
      <c r="B53" s="1">
        <v>42643</v>
      </c>
      <c r="C53">
        <v>17</v>
      </c>
      <c r="D53">
        <v>27043.738020000001</v>
      </c>
      <c r="E53">
        <v>0</v>
      </c>
      <c r="F53" s="1" t="str">
        <f t="shared" si="0"/>
        <v>201206</v>
      </c>
    </row>
    <row r="54" spans="1:6" x14ac:dyDescent="0.25">
      <c r="A54" s="1">
        <v>41090</v>
      </c>
      <c r="B54" s="1">
        <v>42735</v>
      </c>
      <c r="C54">
        <v>18</v>
      </c>
      <c r="D54">
        <v>27043.738020000001</v>
      </c>
      <c r="E54">
        <v>0</v>
      </c>
      <c r="F54" s="1" t="str">
        <f t="shared" si="0"/>
        <v>201206</v>
      </c>
    </row>
    <row r="55" spans="1:6" x14ac:dyDescent="0.25">
      <c r="A55" s="1">
        <v>41090</v>
      </c>
      <c r="B55" s="1">
        <v>42825</v>
      </c>
      <c r="C55">
        <v>19</v>
      </c>
      <c r="D55">
        <v>27043.738020000001</v>
      </c>
      <c r="E55">
        <v>0</v>
      </c>
      <c r="F55" s="1" t="str">
        <f t="shared" si="0"/>
        <v>201206</v>
      </c>
    </row>
    <row r="56" spans="1:6" x14ac:dyDescent="0.25">
      <c r="A56" s="1">
        <v>41090</v>
      </c>
      <c r="B56" s="1">
        <v>42916</v>
      </c>
      <c r="C56">
        <v>20</v>
      </c>
      <c r="D56">
        <v>27043.738020000001</v>
      </c>
      <c r="E56">
        <v>0</v>
      </c>
      <c r="F56" s="1" t="str">
        <f t="shared" si="0"/>
        <v>201206</v>
      </c>
    </row>
    <row r="57" spans="1:6" x14ac:dyDescent="0.25">
      <c r="A57" s="1">
        <v>41182</v>
      </c>
      <c r="B57" s="1">
        <v>42094</v>
      </c>
      <c r="C57">
        <v>10</v>
      </c>
      <c r="D57">
        <v>32479.803199999998</v>
      </c>
      <c r="E57">
        <v>0</v>
      </c>
      <c r="F57" s="1" t="str">
        <f t="shared" si="0"/>
        <v>201209</v>
      </c>
    </row>
    <row r="58" spans="1:6" x14ac:dyDescent="0.25">
      <c r="A58" s="1">
        <v>41182</v>
      </c>
      <c r="B58" s="1">
        <v>42185</v>
      </c>
      <c r="C58">
        <v>11</v>
      </c>
      <c r="D58">
        <v>32317.235860000001</v>
      </c>
      <c r="E58">
        <v>0</v>
      </c>
      <c r="F58" s="1" t="str">
        <f t="shared" si="0"/>
        <v>201209</v>
      </c>
    </row>
    <row r="59" spans="1:6" x14ac:dyDescent="0.25">
      <c r="A59" s="1">
        <v>41182</v>
      </c>
      <c r="B59" s="1">
        <v>42277</v>
      </c>
      <c r="C59">
        <v>12</v>
      </c>
      <c r="D59">
        <v>32441.723720000002</v>
      </c>
      <c r="E59">
        <v>0</v>
      </c>
      <c r="F59" s="1" t="str">
        <f t="shared" si="0"/>
        <v>201209</v>
      </c>
    </row>
    <row r="60" spans="1:6" x14ac:dyDescent="0.25">
      <c r="A60" s="1">
        <v>41182</v>
      </c>
      <c r="B60" s="1">
        <v>42369</v>
      </c>
      <c r="C60">
        <v>13</v>
      </c>
      <c r="D60">
        <v>32413.253089999998</v>
      </c>
      <c r="E60">
        <v>0</v>
      </c>
      <c r="F60" s="1" t="str">
        <f t="shared" si="0"/>
        <v>201209</v>
      </c>
    </row>
    <row r="61" spans="1:6" x14ac:dyDescent="0.25">
      <c r="A61" s="1">
        <v>41182</v>
      </c>
      <c r="B61" s="1">
        <v>42460</v>
      </c>
      <c r="C61">
        <v>14</v>
      </c>
      <c r="D61">
        <v>32454.132180000001</v>
      </c>
      <c r="E61">
        <v>0</v>
      </c>
      <c r="F61" s="1" t="str">
        <f t="shared" si="0"/>
        <v>201209</v>
      </c>
    </row>
    <row r="62" spans="1:6" x14ac:dyDescent="0.25">
      <c r="A62" s="1">
        <v>41182</v>
      </c>
      <c r="B62" s="1">
        <v>42551</v>
      </c>
      <c r="C62">
        <v>15</v>
      </c>
      <c r="D62">
        <v>32454.132180000001</v>
      </c>
      <c r="E62">
        <v>0</v>
      </c>
      <c r="F62" s="1" t="str">
        <f t="shared" si="0"/>
        <v>201209</v>
      </c>
    </row>
    <row r="63" spans="1:6" x14ac:dyDescent="0.25">
      <c r="A63" s="1">
        <v>41182</v>
      </c>
      <c r="B63" s="1">
        <v>42643</v>
      </c>
      <c r="C63">
        <v>16</v>
      </c>
      <c r="D63">
        <v>32560.849620000001</v>
      </c>
      <c r="E63">
        <v>0</v>
      </c>
      <c r="F63" s="1" t="str">
        <f t="shared" si="0"/>
        <v>201209</v>
      </c>
    </row>
    <row r="64" spans="1:6" x14ac:dyDescent="0.25">
      <c r="A64" s="1">
        <v>41182</v>
      </c>
      <c r="B64" s="1">
        <v>42735</v>
      </c>
      <c r="C64">
        <v>17</v>
      </c>
      <c r="D64">
        <v>32564.503349999999</v>
      </c>
      <c r="E64">
        <v>0</v>
      </c>
      <c r="F64" s="1" t="str">
        <f t="shared" si="0"/>
        <v>201209</v>
      </c>
    </row>
    <row r="65" spans="1:6" x14ac:dyDescent="0.25">
      <c r="A65" s="1">
        <v>41182</v>
      </c>
      <c r="B65" s="1">
        <v>42825</v>
      </c>
      <c r="C65">
        <v>18</v>
      </c>
      <c r="D65">
        <v>32564.503349999999</v>
      </c>
      <c r="E65">
        <v>0</v>
      </c>
      <c r="F65" s="1" t="str">
        <f t="shared" si="0"/>
        <v>201209</v>
      </c>
    </row>
    <row r="66" spans="1:6" x14ac:dyDescent="0.25">
      <c r="A66" s="1">
        <v>41182</v>
      </c>
      <c r="B66" s="1">
        <v>42916</v>
      </c>
      <c r="C66">
        <v>19</v>
      </c>
      <c r="D66">
        <v>32560.564920000001</v>
      </c>
      <c r="E66">
        <v>0</v>
      </c>
      <c r="F66" s="1" t="str">
        <f t="shared" si="0"/>
        <v>201209</v>
      </c>
    </row>
    <row r="67" spans="1:6" x14ac:dyDescent="0.25">
      <c r="A67" s="1">
        <v>41182</v>
      </c>
      <c r="B67" s="1">
        <v>43008</v>
      </c>
      <c r="C67">
        <v>20</v>
      </c>
      <c r="D67">
        <v>32560.564920000001</v>
      </c>
      <c r="E67">
        <v>0</v>
      </c>
      <c r="F67" s="1" t="str">
        <f t="shared" ref="F67:F130" si="1">YEAR(A67)&amp;IF(LEN(MONTH(A67))=1,"0"&amp;MONTH(A67),MONTH(A67))</f>
        <v>201209</v>
      </c>
    </row>
    <row r="68" spans="1:6" x14ac:dyDescent="0.25">
      <c r="A68" s="1">
        <v>41274</v>
      </c>
      <c r="B68" s="1">
        <v>42094</v>
      </c>
      <c r="C68">
        <v>9</v>
      </c>
      <c r="D68">
        <v>41486.039069999999</v>
      </c>
      <c r="E68">
        <v>0</v>
      </c>
      <c r="F68" s="1" t="str">
        <f t="shared" si="1"/>
        <v>201212</v>
      </c>
    </row>
    <row r="69" spans="1:6" x14ac:dyDescent="0.25">
      <c r="A69" s="1">
        <v>41274</v>
      </c>
      <c r="B69" s="1">
        <v>42185</v>
      </c>
      <c r="C69">
        <v>10</v>
      </c>
      <c r="D69">
        <v>41475.599829999999</v>
      </c>
      <c r="E69">
        <v>0</v>
      </c>
      <c r="F69" s="1" t="str">
        <f t="shared" si="1"/>
        <v>201212</v>
      </c>
    </row>
    <row r="70" spans="1:6" x14ac:dyDescent="0.25">
      <c r="A70" s="1">
        <v>41274</v>
      </c>
      <c r="B70" s="1">
        <v>42277</v>
      </c>
      <c r="C70">
        <v>11</v>
      </c>
      <c r="D70">
        <v>41551.308010000001</v>
      </c>
      <c r="E70">
        <v>0</v>
      </c>
      <c r="F70" s="1" t="str">
        <f t="shared" si="1"/>
        <v>201212</v>
      </c>
    </row>
    <row r="71" spans="1:6" x14ac:dyDescent="0.25">
      <c r="A71" s="1">
        <v>41274</v>
      </c>
      <c r="B71" s="1">
        <v>42369</v>
      </c>
      <c r="C71">
        <v>12</v>
      </c>
      <c r="D71">
        <v>41551.308010000001</v>
      </c>
      <c r="E71">
        <v>0</v>
      </c>
      <c r="F71" s="1" t="str">
        <f t="shared" si="1"/>
        <v>201212</v>
      </c>
    </row>
    <row r="72" spans="1:6" x14ac:dyDescent="0.25">
      <c r="A72" s="1">
        <v>41274</v>
      </c>
      <c r="B72" s="1">
        <v>42460</v>
      </c>
      <c r="C72">
        <v>13</v>
      </c>
      <c r="D72">
        <v>41551.308010000001</v>
      </c>
      <c r="E72">
        <v>0</v>
      </c>
      <c r="F72" s="1" t="str">
        <f t="shared" si="1"/>
        <v>201212</v>
      </c>
    </row>
    <row r="73" spans="1:6" x14ac:dyDescent="0.25">
      <c r="A73" s="1">
        <v>41274</v>
      </c>
      <c r="B73" s="1">
        <v>42551</v>
      </c>
      <c r="C73">
        <v>14</v>
      </c>
      <c r="D73">
        <v>41551.308010000001</v>
      </c>
      <c r="E73">
        <v>0</v>
      </c>
      <c r="F73" s="1" t="str">
        <f t="shared" si="1"/>
        <v>201212</v>
      </c>
    </row>
    <row r="74" spans="1:6" x14ac:dyDescent="0.25">
      <c r="A74" s="1">
        <v>41274</v>
      </c>
      <c r="B74" s="1">
        <v>42643</v>
      </c>
      <c r="C74">
        <v>15</v>
      </c>
      <c r="D74">
        <v>41583.408649999998</v>
      </c>
      <c r="E74">
        <v>0</v>
      </c>
      <c r="F74" s="1" t="str">
        <f t="shared" si="1"/>
        <v>201212</v>
      </c>
    </row>
    <row r="75" spans="1:6" x14ac:dyDescent="0.25">
      <c r="A75" s="1">
        <v>41274</v>
      </c>
      <c r="B75" s="1">
        <v>42735</v>
      </c>
      <c r="C75">
        <v>16</v>
      </c>
      <c r="D75">
        <v>41583.408649999998</v>
      </c>
      <c r="E75">
        <v>0</v>
      </c>
      <c r="F75" s="1" t="str">
        <f t="shared" si="1"/>
        <v>201212</v>
      </c>
    </row>
    <row r="76" spans="1:6" x14ac:dyDescent="0.25">
      <c r="A76" s="1">
        <v>41274</v>
      </c>
      <c r="B76" s="1">
        <v>42825</v>
      </c>
      <c r="C76">
        <v>17</v>
      </c>
      <c r="D76">
        <v>41583.408649999998</v>
      </c>
      <c r="E76">
        <v>0</v>
      </c>
      <c r="F76" s="1" t="str">
        <f t="shared" si="1"/>
        <v>201212</v>
      </c>
    </row>
    <row r="77" spans="1:6" x14ac:dyDescent="0.25">
      <c r="A77" s="1">
        <v>41274</v>
      </c>
      <c r="B77" s="1">
        <v>42916</v>
      </c>
      <c r="C77">
        <v>18</v>
      </c>
      <c r="D77">
        <v>41255.996299999999</v>
      </c>
      <c r="E77">
        <v>0</v>
      </c>
      <c r="F77" s="1" t="str">
        <f t="shared" si="1"/>
        <v>201212</v>
      </c>
    </row>
    <row r="78" spans="1:6" x14ac:dyDescent="0.25">
      <c r="A78" s="1">
        <v>41274</v>
      </c>
      <c r="B78" s="1">
        <v>43008</v>
      </c>
      <c r="C78">
        <v>19</v>
      </c>
      <c r="D78">
        <v>41214.381719999998</v>
      </c>
      <c r="E78">
        <v>0</v>
      </c>
      <c r="F78" s="1" t="str">
        <f t="shared" si="1"/>
        <v>201212</v>
      </c>
    </row>
    <row r="79" spans="1:6" x14ac:dyDescent="0.25">
      <c r="A79" s="1">
        <v>41274</v>
      </c>
      <c r="B79" s="1">
        <v>43100</v>
      </c>
      <c r="C79">
        <v>20</v>
      </c>
      <c r="D79">
        <v>41214.381719999998</v>
      </c>
      <c r="E79">
        <v>0</v>
      </c>
      <c r="F79" s="1" t="str">
        <f t="shared" si="1"/>
        <v>201212</v>
      </c>
    </row>
    <row r="80" spans="1:6" x14ac:dyDescent="0.25">
      <c r="A80" s="1">
        <v>41364</v>
      </c>
      <c r="B80" s="1">
        <v>42094</v>
      </c>
      <c r="C80">
        <v>8</v>
      </c>
      <c r="D80">
        <v>38508.081400000003</v>
      </c>
      <c r="E80">
        <v>0</v>
      </c>
      <c r="F80" s="1" t="str">
        <f t="shared" si="1"/>
        <v>201303</v>
      </c>
    </row>
    <row r="81" spans="1:6" x14ac:dyDescent="0.25">
      <c r="A81" s="1">
        <v>41364</v>
      </c>
      <c r="B81" s="1">
        <v>42185</v>
      </c>
      <c r="C81">
        <v>9</v>
      </c>
      <c r="D81">
        <v>38516.290439999997</v>
      </c>
      <c r="E81">
        <v>0</v>
      </c>
      <c r="F81" s="1" t="str">
        <f t="shared" si="1"/>
        <v>201303</v>
      </c>
    </row>
    <row r="82" spans="1:6" x14ac:dyDescent="0.25">
      <c r="A82" s="1">
        <v>41364</v>
      </c>
      <c r="B82" s="1">
        <v>42277</v>
      </c>
      <c r="C82">
        <v>10</v>
      </c>
      <c r="D82">
        <v>38526.658490000002</v>
      </c>
      <c r="E82">
        <v>0</v>
      </c>
      <c r="F82" s="1" t="str">
        <f t="shared" si="1"/>
        <v>201303</v>
      </c>
    </row>
    <row r="83" spans="1:6" x14ac:dyDescent="0.25">
      <c r="A83" s="1">
        <v>41364</v>
      </c>
      <c r="B83" s="1">
        <v>42369</v>
      </c>
      <c r="C83">
        <v>11</v>
      </c>
      <c r="D83">
        <v>38510.714939999998</v>
      </c>
      <c r="E83">
        <v>0</v>
      </c>
      <c r="F83" s="1" t="str">
        <f t="shared" si="1"/>
        <v>201303</v>
      </c>
    </row>
    <row r="84" spans="1:6" x14ac:dyDescent="0.25">
      <c r="A84" s="1">
        <v>41364</v>
      </c>
      <c r="B84" s="1">
        <v>42460</v>
      </c>
      <c r="C84">
        <v>12</v>
      </c>
      <c r="D84">
        <v>38510.714939999998</v>
      </c>
      <c r="E84">
        <v>0</v>
      </c>
      <c r="F84" s="1" t="str">
        <f t="shared" si="1"/>
        <v>201303</v>
      </c>
    </row>
    <row r="85" spans="1:6" x14ac:dyDescent="0.25">
      <c r="A85" s="1">
        <v>41364</v>
      </c>
      <c r="B85" s="1">
        <v>42551</v>
      </c>
      <c r="C85">
        <v>13</v>
      </c>
      <c r="D85">
        <v>38510.714939999998</v>
      </c>
      <c r="E85">
        <v>0</v>
      </c>
      <c r="F85" s="1" t="str">
        <f t="shared" si="1"/>
        <v>201303</v>
      </c>
    </row>
    <row r="86" spans="1:6" x14ac:dyDescent="0.25">
      <c r="A86" s="1">
        <v>41364</v>
      </c>
      <c r="B86" s="1">
        <v>42643</v>
      </c>
      <c r="C86">
        <v>14</v>
      </c>
      <c r="D86">
        <v>38776.891689999997</v>
      </c>
      <c r="E86">
        <v>0</v>
      </c>
      <c r="F86" s="1" t="str">
        <f t="shared" si="1"/>
        <v>201303</v>
      </c>
    </row>
    <row r="87" spans="1:6" x14ac:dyDescent="0.25">
      <c r="A87" s="1">
        <v>41364</v>
      </c>
      <c r="B87" s="1">
        <v>42735</v>
      </c>
      <c r="C87">
        <v>15</v>
      </c>
      <c r="D87">
        <v>38729.013559999999</v>
      </c>
      <c r="E87">
        <v>0</v>
      </c>
      <c r="F87" s="1" t="str">
        <f t="shared" si="1"/>
        <v>201303</v>
      </c>
    </row>
    <row r="88" spans="1:6" x14ac:dyDescent="0.25">
      <c r="A88" s="1">
        <v>41364</v>
      </c>
      <c r="B88" s="1">
        <v>42825</v>
      </c>
      <c r="C88">
        <v>16</v>
      </c>
      <c r="D88">
        <v>38726.641009999999</v>
      </c>
      <c r="E88">
        <v>0</v>
      </c>
      <c r="F88" s="1" t="str">
        <f t="shared" si="1"/>
        <v>201303</v>
      </c>
    </row>
    <row r="89" spans="1:6" x14ac:dyDescent="0.25">
      <c r="A89" s="1">
        <v>41364</v>
      </c>
      <c r="B89" s="1">
        <v>42916</v>
      </c>
      <c r="C89">
        <v>17</v>
      </c>
      <c r="D89">
        <v>38726.641009999999</v>
      </c>
      <c r="E89">
        <v>0</v>
      </c>
      <c r="F89" s="1" t="str">
        <f t="shared" si="1"/>
        <v>201303</v>
      </c>
    </row>
    <row r="90" spans="1:6" x14ac:dyDescent="0.25">
      <c r="A90" s="1">
        <v>41364</v>
      </c>
      <c r="B90" s="1">
        <v>43008</v>
      </c>
      <c r="C90">
        <v>18</v>
      </c>
      <c r="D90">
        <v>38726.641009999999</v>
      </c>
      <c r="E90">
        <v>0</v>
      </c>
      <c r="F90" s="1" t="str">
        <f t="shared" si="1"/>
        <v>201303</v>
      </c>
    </row>
    <row r="91" spans="1:6" x14ac:dyDescent="0.25">
      <c r="A91" s="1">
        <v>41364</v>
      </c>
      <c r="B91" s="1">
        <v>43100</v>
      </c>
      <c r="C91">
        <v>19</v>
      </c>
      <c r="D91">
        <v>38726.641009999999</v>
      </c>
      <c r="E91">
        <v>0</v>
      </c>
      <c r="F91" s="1" t="str">
        <f t="shared" si="1"/>
        <v>201303</v>
      </c>
    </row>
    <row r="92" spans="1:6" x14ac:dyDescent="0.25">
      <c r="A92" s="1">
        <v>41364</v>
      </c>
      <c r="B92" s="1">
        <v>43190</v>
      </c>
      <c r="C92">
        <v>20</v>
      </c>
      <c r="D92">
        <v>38737.056519999998</v>
      </c>
      <c r="E92">
        <v>0</v>
      </c>
      <c r="F92" s="1" t="str">
        <f t="shared" si="1"/>
        <v>201303</v>
      </c>
    </row>
    <row r="93" spans="1:6" x14ac:dyDescent="0.25">
      <c r="A93" s="1">
        <v>41455</v>
      </c>
      <c r="B93" s="1">
        <v>42094</v>
      </c>
      <c r="C93">
        <v>7</v>
      </c>
      <c r="D93">
        <v>26322.956340000001</v>
      </c>
      <c r="E93">
        <v>0</v>
      </c>
      <c r="F93" s="1" t="str">
        <f t="shared" si="1"/>
        <v>201306</v>
      </c>
    </row>
    <row r="94" spans="1:6" x14ac:dyDescent="0.25">
      <c r="A94" s="1">
        <v>41455</v>
      </c>
      <c r="B94" s="1">
        <v>42185</v>
      </c>
      <c r="C94">
        <v>8</v>
      </c>
      <c r="D94">
        <v>26318.306140000001</v>
      </c>
      <c r="E94">
        <v>0</v>
      </c>
      <c r="F94" s="1" t="str">
        <f t="shared" si="1"/>
        <v>201306</v>
      </c>
    </row>
    <row r="95" spans="1:6" x14ac:dyDescent="0.25">
      <c r="A95" s="1">
        <v>41455</v>
      </c>
      <c r="B95" s="1">
        <v>42277</v>
      </c>
      <c r="C95">
        <v>9</v>
      </c>
      <c r="D95">
        <v>26309.005730000001</v>
      </c>
      <c r="E95">
        <v>0</v>
      </c>
      <c r="F95" s="1" t="str">
        <f t="shared" si="1"/>
        <v>201306</v>
      </c>
    </row>
    <row r="96" spans="1:6" x14ac:dyDescent="0.25">
      <c r="A96" s="1">
        <v>41455</v>
      </c>
      <c r="B96" s="1">
        <v>42369</v>
      </c>
      <c r="C96">
        <v>10</v>
      </c>
      <c r="D96">
        <v>26621.186290000001</v>
      </c>
      <c r="E96">
        <v>0</v>
      </c>
      <c r="F96" s="1" t="str">
        <f t="shared" si="1"/>
        <v>201306</v>
      </c>
    </row>
    <row r="97" spans="1:6" x14ac:dyDescent="0.25">
      <c r="A97" s="1">
        <v>41455</v>
      </c>
      <c r="B97" s="1">
        <v>42460</v>
      </c>
      <c r="C97">
        <v>11</v>
      </c>
      <c r="D97">
        <v>26621.186290000001</v>
      </c>
      <c r="E97">
        <v>0</v>
      </c>
      <c r="F97" s="1" t="str">
        <f t="shared" si="1"/>
        <v>201306</v>
      </c>
    </row>
    <row r="98" spans="1:6" x14ac:dyDescent="0.25">
      <c r="A98" s="1">
        <v>41455</v>
      </c>
      <c r="B98" s="1">
        <v>42551</v>
      </c>
      <c r="C98">
        <v>12</v>
      </c>
      <c r="D98">
        <v>26639.73965</v>
      </c>
      <c r="E98">
        <v>0</v>
      </c>
      <c r="F98" s="1" t="str">
        <f t="shared" si="1"/>
        <v>201306</v>
      </c>
    </row>
    <row r="99" spans="1:6" x14ac:dyDescent="0.25">
      <c r="A99" s="1">
        <v>41455</v>
      </c>
      <c r="B99" s="1">
        <v>42643</v>
      </c>
      <c r="C99">
        <v>13</v>
      </c>
      <c r="D99">
        <v>26639.73965</v>
      </c>
      <c r="E99">
        <v>0</v>
      </c>
      <c r="F99" s="1" t="str">
        <f t="shared" si="1"/>
        <v>201306</v>
      </c>
    </row>
    <row r="100" spans="1:6" x14ac:dyDescent="0.25">
      <c r="A100" s="1">
        <v>41455</v>
      </c>
      <c r="B100" s="1">
        <v>42735</v>
      </c>
      <c r="C100">
        <v>14</v>
      </c>
      <c r="D100">
        <v>26624.341779999999</v>
      </c>
      <c r="E100">
        <v>0</v>
      </c>
      <c r="F100" s="1" t="str">
        <f t="shared" si="1"/>
        <v>201306</v>
      </c>
    </row>
    <row r="101" spans="1:6" x14ac:dyDescent="0.25">
      <c r="A101" s="1">
        <v>41455</v>
      </c>
      <c r="B101" s="1">
        <v>42825</v>
      </c>
      <c r="C101">
        <v>15</v>
      </c>
      <c r="D101">
        <v>26624.341779999999</v>
      </c>
      <c r="E101">
        <v>0</v>
      </c>
      <c r="F101" s="1" t="str">
        <f t="shared" si="1"/>
        <v>201306</v>
      </c>
    </row>
    <row r="102" spans="1:6" x14ac:dyDescent="0.25">
      <c r="A102" s="1">
        <v>41455</v>
      </c>
      <c r="B102" s="1">
        <v>42916</v>
      </c>
      <c r="C102">
        <v>16</v>
      </c>
      <c r="D102">
        <v>26623.630020000001</v>
      </c>
      <c r="E102">
        <v>0</v>
      </c>
      <c r="F102" s="1" t="str">
        <f t="shared" si="1"/>
        <v>201306</v>
      </c>
    </row>
    <row r="103" spans="1:6" x14ac:dyDescent="0.25">
      <c r="A103" s="1">
        <v>41455</v>
      </c>
      <c r="B103" s="1">
        <v>43008</v>
      </c>
      <c r="C103">
        <v>17</v>
      </c>
      <c r="D103">
        <v>26623.630020000001</v>
      </c>
      <c r="E103">
        <v>0</v>
      </c>
      <c r="F103" s="1" t="str">
        <f t="shared" si="1"/>
        <v>201306</v>
      </c>
    </row>
    <row r="104" spans="1:6" x14ac:dyDescent="0.25">
      <c r="A104" s="1">
        <v>41455</v>
      </c>
      <c r="B104" s="1">
        <v>43100</v>
      </c>
      <c r="C104">
        <v>18</v>
      </c>
      <c r="D104">
        <v>26623.630020000001</v>
      </c>
      <c r="E104">
        <v>0</v>
      </c>
      <c r="F104" s="1" t="str">
        <f t="shared" si="1"/>
        <v>201306</v>
      </c>
    </row>
    <row r="105" spans="1:6" x14ac:dyDescent="0.25">
      <c r="A105" s="1">
        <v>41455</v>
      </c>
      <c r="B105" s="1">
        <v>43190</v>
      </c>
      <c r="C105">
        <v>19</v>
      </c>
      <c r="D105">
        <v>26623.630020000001</v>
      </c>
      <c r="E105">
        <v>0</v>
      </c>
      <c r="F105" s="1" t="str">
        <f t="shared" si="1"/>
        <v>201306</v>
      </c>
    </row>
    <row r="106" spans="1:6" x14ac:dyDescent="0.25">
      <c r="A106" s="1">
        <v>41455</v>
      </c>
      <c r="B106" s="1">
        <v>43281</v>
      </c>
      <c r="C106">
        <v>20</v>
      </c>
      <c r="D106">
        <v>26623.630020000001</v>
      </c>
      <c r="E106">
        <v>0</v>
      </c>
      <c r="F106" s="1" t="str">
        <f t="shared" si="1"/>
        <v>201306</v>
      </c>
    </row>
    <row r="107" spans="1:6" x14ac:dyDescent="0.25">
      <c r="A107" s="1">
        <v>41547</v>
      </c>
      <c r="B107" s="1">
        <v>42094</v>
      </c>
      <c r="C107">
        <v>6</v>
      </c>
      <c r="D107">
        <v>27364.72075</v>
      </c>
      <c r="E107">
        <v>0</v>
      </c>
      <c r="F107" s="1" t="str">
        <f t="shared" si="1"/>
        <v>201309</v>
      </c>
    </row>
    <row r="108" spans="1:6" x14ac:dyDescent="0.25">
      <c r="A108" s="1">
        <v>41547</v>
      </c>
      <c r="B108" s="1">
        <v>42185</v>
      </c>
      <c r="C108">
        <v>7</v>
      </c>
      <c r="D108">
        <v>27262.700959999998</v>
      </c>
      <c r="E108">
        <v>0</v>
      </c>
      <c r="F108" s="1" t="str">
        <f t="shared" si="1"/>
        <v>201309</v>
      </c>
    </row>
    <row r="109" spans="1:6" x14ac:dyDescent="0.25">
      <c r="A109" s="1">
        <v>41547</v>
      </c>
      <c r="B109" s="1">
        <v>42277</v>
      </c>
      <c r="C109">
        <v>8</v>
      </c>
      <c r="D109">
        <v>27243.910339999999</v>
      </c>
      <c r="E109">
        <v>0</v>
      </c>
      <c r="F109" s="1" t="str">
        <f t="shared" si="1"/>
        <v>201309</v>
      </c>
    </row>
    <row r="110" spans="1:6" x14ac:dyDescent="0.25">
      <c r="A110" s="1">
        <v>41547</v>
      </c>
      <c r="B110" s="1">
        <v>42369</v>
      </c>
      <c r="C110">
        <v>9</v>
      </c>
      <c r="D110">
        <v>27246.164260000001</v>
      </c>
      <c r="E110">
        <v>0</v>
      </c>
      <c r="F110" s="1" t="str">
        <f t="shared" si="1"/>
        <v>201309</v>
      </c>
    </row>
    <row r="111" spans="1:6" x14ac:dyDescent="0.25">
      <c r="A111" s="1">
        <v>41547</v>
      </c>
      <c r="B111" s="1">
        <v>42460</v>
      </c>
      <c r="C111">
        <v>10</v>
      </c>
      <c r="D111">
        <v>27256.556049999999</v>
      </c>
      <c r="E111">
        <v>0</v>
      </c>
      <c r="F111" s="1" t="str">
        <f t="shared" si="1"/>
        <v>201309</v>
      </c>
    </row>
    <row r="112" spans="1:6" x14ac:dyDescent="0.25">
      <c r="A112" s="1">
        <v>41547</v>
      </c>
      <c r="B112" s="1">
        <v>42551</v>
      </c>
      <c r="C112">
        <v>11</v>
      </c>
      <c r="D112">
        <v>27246.14054</v>
      </c>
      <c r="E112">
        <v>0</v>
      </c>
      <c r="F112" s="1" t="str">
        <f t="shared" si="1"/>
        <v>201309</v>
      </c>
    </row>
    <row r="113" spans="1:6" x14ac:dyDescent="0.25">
      <c r="A113" s="1">
        <v>41547</v>
      </c>
      <c r="B113" s="1">
        <v>42643</v>
      </c>
      <c r="C113">
        <v>12</v>
      </c>
      <c r="D113">
        <v>27246.14054</v>
      </c>
      <c r="E113">
        <v>0</v>
      </c>
      <c r="F113" s="1" t="str">
        <f t="shared" si="1"/>
        <v>201309</v>
      </c>
    </row>
    <row r="114" spans="1:6" x14ac:dyDescent="0.25">
      <c r="A114" s="1">
        <v>41547</v>
      </c>
      <c r="B114" s="1">
        <v>42735</v>
      </c>
      <c r="C114">
        <v>13</v>
      </c>
      <c r="D114">
        <v>27258.643889999999</v>
      </c>
      <c r="E114">
        <v>0</v>
      </c>
      <c r="F114" s="1" t="str">
        <f t="shared" si="1"/>
        <v>201309</v>
      </c>
    </row>
    <row r="115" spans="1:6" x14ac:dyDescent="0.25">
      <c r="A115" s="1">
        <v>41547</v>
      </c>
      <c r="B115" s="1">
        <v>42825</v>
      </c>
      <c r="C115">
        <v>14</v>
      </c>
      <c r="D115">
        <v>27258.643889999999</v>
      </c>
      <c r="E115">
        <v>0</v>
      </c>
      <c r="F115" s="1" t="str">
        <f t="shared" si="1"/>
        <v>201309</v>
      </c>
    </row>
    <row r="116" spans="1:6" x14ac:dyDescent="0.25">
      <c r="A116" s="1">
        <v>41547</v>
      </c>
      <c r="B116" s="1">
        <v>42916</v>
      </c>
      <c r="C116">
        <v>15</v>
      </c>
      <c r="D116">
        <v>27258.643889999999</v>
      </c>
      <c r="E116">
        <v>0</v>
      </c>
      <c r="F116" s="1" t="str">
        <f t="shared" si="1"/>
        <v>201309</v>
      </c>
    </row>
    <row r="117" spans="1:6" x14ac:dyDescent="0.25">
      <c r="A117" s="1">
        <v>41547</v>
      </c>
      <c r="B117" s="1">
        <v>43008</v>
      </c>
      <c r="C117">
        <v>16</v>
      </c>
      <c r="D117">
        <v>27258.643889999999</v>
      </c>
      <c r="E117">
        <v>0</v>
      </c>
      <c r="F117" s="1" t="str">
        <f t="shared" si="1"/>
        <v>201309</v>
      </c>
    </row>
    <row r="118" spans="1:6" x14ac:dyDescent="0.25">
      <c r="A118" s="1">
        <v>41547</v>
      </c>
      <c r="B118" s="1">
        <v>43100</v>
      </c>
      <c r="C118">
        <v>17</v>
      </c>
      <c r="D118">
        <v>27258.643889999999</v>
      </c>
      <c r="E118">
        <v>0</v>
      </c>
      <c r="F118" s="1" t="str">
        <f t="shared" si="1"/>
        <v>201309</v>
      </c>
    </row>
    <row r="119" spans="1:6" x14ac:dyDescent="0.25">
      <c r="A119" s="1">
        <v>41547</v>
      </c>
      <c r="B119" s="1">
        <v>43190</v>
      </c>
      <c r="C119">
        <v>18</v>
      </c>
      <c r="D119">
        <v>27258.643889999999</v>
      </c>
      <c r="E119">
        <v>0</v>
      </c>
      <c r="F119" s="1" t="str">
        <f t="shared" si="1"/>
        <v>201309</v>
      </c>
    </row>
    <row r="120" spans="1:6" x14ac:dyDescent="0.25">
      <c r="A120" s="1">
        <v>41547</v>
      </c>
      <c r="B120" s="1">
        <v>43281</v>
      </c>
      <c r="C120">
        <v>19</v>
      </c>
      <c r="D120">
        <v>27258.66762</v>
      </c>
      <c r="E120">
        <v>0</v>
      </c>
      <c r="F120" s="1" t="str">
        <f t="shared" si="1"/>
        <v>201309</v>
      </c>
    </row>
    <row r="121" spans="1:6" x14ac:dyDescent="0.25">
      <c r="A121" s="1">
        <v>41547</v>
      </c>
      <c r="B121" s="1">
        <v>43373</v>
      </c>
      <c r="C121">
        <v>20</v>
      </c>
      <c r="D121">
        <v>27258.643889999999</v>
      </c>
      <c r="E121">
        <v>0</v>
      </c>
      <c r="F121" s="1" t="str">
        <f t="shared" si="1"/>
        <v>201309</v>
      </c>
    </row>
    <row r="122" spans="1:6" x14ac:dyDescent="0.25">
      <c r="A122" s="1">
        <v>41639</v>
      </c>
      <c r="B122" s="1">
        <v>42094</v>
      </c>
      <c r="C122">
        <v>5</v>
      </c>
      <c r="D122">
        <v>45806.36363</v>
      </c>
      <c r="E122">
        <v>0</v>
      </c>
      <c r="F122" s="1" t="str">
        <f t="shared" si="1"/>
        <v>201312</v>
      </c>
    </row>
    <row r="123" spans="1:6" x14ac:dyDescent="0.25">
      <c r="A123" s="1">
        <v>41639</v>
      </c>
      <c r="B123" s="1">
        <v>42185</v>
      </c>
      <c r="C123">
        <v>6</v>
      </c>
      <c r="D123">
        <v>44432.845099999999</v>
      </c>
      <c r="E123">
        <v>0</v>
      </c>
      <c r="F123" s="1" t="str">
        <f t="shared" si="1"/>
        <v>201312</v>
      </c>
    </row>
    <row r="124" spans="1:6" x14ac:dyDescent="0.25">
      <c r="A124" s="1">
        <v>41639</v>
      </c>
      <c r="B124" s="1">
        <v>42277</v>
      </c>
      <c r="C124">
        <v>7</v>
      </c>
      <c r="D124">
        <v>44633.705459999997</v>
      </c>
      <c r="E124">
        <v>0</v>
      </c>
      <c r="F124" s="1" t="str">
        <f t="shared" si="1"/>
        <v>201312</v>
      </c>
    </row>
    <row r="125" spans="1:6" x14ac:dyDescent="0.25">
      <c r="A125" s="1">
        <v>41639</v>
      </c>
      <c r="B125" s="1">
        <v>42369</v>
      </c>
      <c r="C125">
        <v>8</v>
      </c>
      <c r="D125">
        <v>44637.715080000002</v>
      </c>
      <c r="E125">
        <v>0</v>
      </c>
      <c r="F125" s="1" t="str">
        <f t="shared" si="1"/>
        <v>201312</v>
      </c>
    </row>
    <row r="126" spans="1:6" x14ac:dyDescent="0.25">
      <c r="A126" s="1">
        <v>41639</v>
      </c>
      <c r="B126" s="1">
        <v>42460</v>
      </c>
      <c r="C126">
        <v>9</v>
      </c>
      <c r="D126">
        <v>44694.015769999998</v>
      </c>
      <c r="E126">
        <v>0</v>
      </c>
      <c r="F126" s="1" t="str">
        <f t="shared" si="1"/>
        <v>201312</v>
      </c>
    </row>
    <row r="127" spans="1:6" x14ac:dyDescent="0.25">
      <c r="A127" s="1">
        <v>41639</v>
      </c>
      <c r="B127" s="1">
        <v>42551</v>
      </c>
      <c r="C127">
        <v>10</v>
      </c>
      <c r="D127">
        <v>44694.015769999998</v>
      </c>
      <c r="E127">
        <v>0</v>
      </c>
      <c r="F127" s="1" t="str">
        <f t="shared" si="1"/>
        <v>201312</v>
      </c>
    </row>
    <row r="128" spans="1:6" x14ac:dyDescent="0.25">
      <c r="A128" s="1">
        <v>41639</v>
      </c>
      <c r="B128" s="1">
        <v>42643</v>
      </c>
      <c r="C128">
        <v>11</v>
      </c>
      <c r="D128">
        <v>44683.576529999998</v>
      </c>
      <c r="E128">
        <v>0</v>
      </c>
      <c r="F128" s="1" t="str">
        <f t="shared" si="1"/>
        <v>201312</v>
      </c>
    </row>
    <row r="129" spans="1:6" x14ac:dyDescent="0.25">
      <c r="A129" s="1">
        <v>41639</v>
      </c>
      <c r="B129" s="1">
        <v>42735</v>
      </c>
      <c r="C129">
        <v>12</v>
      </c>
      <c r="D129">
        <v>44481.434990000002</v>
      </c>
      <c r="E129">
        <v>0</v>
      </c>
      <c r="F129" s="1" t="str">
        <f t="shared" si="1"/>
        <v>201312</v>
      </c>
    </row>
    <row r="130" spans="1:6" x14ac:dyDescent="0.25">
      <c r="A130" s="1">
        <v>41639</v>
      </c>
      <c r="B130" s="1">
        <v>42825</v>
      </c>
      <c r="C130">
        <v>13</v>
      </c>
      <c r="D130">
        <v>44528.719980000002</v>
      </c>
      <c r="E130">
        <v>0</v>
      </c>
      <c r="F130" s="1" t="str">
        <f t="shared" si="1"/>
        <v>201312</v>
      </c>
    </row>
    <row r="131" spans="1:6" x14ac:dyDescent="0.25">
      <c r="A131" s="1">
        <v>41639</v>
      </c>
      <c r="B131" s="1">
        <v>42916</v>
      </c>
      <c r="C131">
        <v>14</v>
      </c>
      <c r="D131">
        <v>44567.202790000003</v>
      </c>
      <c r="E131">
        <v>0</v>
      </c>
      <c r="F131" s="1" t="str">
        <f t="shared" ref="F131:F194" si="2">YEAR(A131)&amp;IF(LEN(MONTH(A131))=1,"0"&amp;MONTH(A131),MONTH(A131))</f>
        <v>201312</v>
      </c>
    </row>
    <row r="132" spans="1:6" x14ac:dyDescent="0.25">
      <c r="A132" s="1">
        <v>41639</v>
      </c>
      <c r="B132" s="1">
        <v>43008</v>
      </c>
      <c r="C132">
        <v>15</v>
      </c>
      <c r="D132">
        <v>44675.652199999997</v>
      </c>
      <c r="E132">
        <v>0</v>
      </c>
      <c r="F132" s="1" t="str">
        <f t="shared" si="2"/>
        <v>201312</v>
      </c>
    </row>
    <row r="133" spans="1:6" x14ac:dyDescent="0.25">
      <c r="A133" s="1">
        <v>41639</v>
      </c>
      <c r="B133" s="1">
        <v>43100</v>
      </c>
      <c r="C133">
        <v>16</v>
      </c>
      <c r="D133">
        <v>44707.041080000003</v>
      </c>
      <c r="E133">
        <v>0</v>
      </c>
      <c r="F133" s="1" t="str">
        <f t="shared" si="2"/>
        <v>201312</v>
      </c>
    </row>
    <row r="134" spans="1:6" x14ac:dyDescent="0.25">
      <c r="A134" s="1">
        <v>41639</v>
      </c>
      <c r="B134" s="1">
        <v>43190</v>
      </c>
      <c r="C134">
        <v>17</v>
      </c>
      <c r="D134">
        <v>44790.293980000002</v>
      </c>
      <c r="E134">
        <v>0</v>
      </c>
      <c r="F134" s="1" t="str">
        <f t="shared" si="2"/>
        <v>201312</v>
      </c>
    </row>
    <row r="135" spans="1:6" x14ac:dyDescent="0.25">
      <c r="A135" s="1">
        <v>41639</v>
      </c>
      <c r="B135" s="1">
        <v>43281</v>
      </c>
      <c r="C135">
        <v>18</v>
      </c>
      <c r="D135">
        <v>44837.151899999997</v>
      </c>
      <c r="E135">
        <v>0</v>
      </c>
      <c r="F135" s="1" t="str">
        <f t="shared" si="2"/>
        <v>201312</v>
      </c>
    </row>
    <row r="136" spans="1:6" x14ac:dyDescent="0.25">
      <c r="A136" s="1">
        <v>41639</v>
      </c>
      <c r="B136" s="1">
        <v>43373</v>
      </c>
      <c r="C136">
        <v>19</v>
      </c>
      <c r="D136">
        <v>44883.060810000003</v>
      </c>
      <c r="E136">
        <v>0</v>
      </c>
      <c r="F136" s="1" t="str">
        <f t="shared" si="2"/>
        <v>201312</v>
      </c>
    </row>
    <row r="137" spans="1:6" x14ac:dyDescent="0.25">
      <c r="A137" s="1">
        <v>41639</v>
      </c>
      <c r="B137" s="1">
        <v>43465</v>
      </c>
      <c r="C137">
        <v>20</v>
      </c>
      <c r="D137">
        <v>44814.470289999997</v>
      </c>
      <c r="E137">
        <v>0</v>
      </c>
      <c r="F137" s="1" t="str">
        <f t="shared" si="2"/>
        <v>201312</v>
      </c>
    </row>
    <row r="138" spans="1:6" x14ac:dyDescent="0.25">
      <c r="A138" s="1">
        <v>41729</v>
      </c>
      <c r="B138" s="1">
        <v>42094</v>
      </c>
      <c r="C138">
        <v>4</v>
      </c>
      <c r="D138">
        <v>37946.521769999999</v>
      </c>
      <c r="E138">
        <v>0</v>
      </c>
      <c r="F138" s="1" t="str">
        <f t="shared" si="2"/>
        <v>201403</v>
      </c>
    </row>
    <row r="139" spans="1:6" x14ac:dyDescent="0.25">
      <c r="A139" s="1">
        <v>41729</v>
      </c>
      <c r="B139" s="1">
        <v>42185</v>
      </c>
      <c r="C139">
        <v>5</v>
      </c>
      <c r="D139">
        <v>37692.445050000002</v>
      </c>
      <c r="E139">
        <v>0</v>
      </c>
      <c r="F139" s="1" t="str">
        <f t="shared" si="2"/>
        <v>201403</v>
      </c>
    </row>
    <row r="140" spans="1:6" x14ac:dyDescent="0.25">
      <c r="A140" s="1">
        <v>41729</v>
      </c>
      <c r="B140" s="1">
        <v>42277</v>
      </c>
      <c r="C140">
        <v>6</v>
      </c>
      <c r="D140">
        <v>37686.371310000002</v>
      </c>
      <c r="E140">
        <v>0</v>
      </c>
      <c r="F140" s="1" t="str">
        <f t="shared" si="2"/>
        <v>201403</v>
      </c>
    </row>
    <row r="141" spans="1:6" x14ac:dyDescent="0.25">
      <c r="A141" s="1">
        <v>41729</v>
      </c>
      <c r="B141" s="1">
        <v>42369</v>
      </c>
      <c r="C141">
        <v>7</v>
      </c>
      <c r="D141">
        <v>37629.216500000002</v>
      </c>
      <c r="E141">
        <v>0</v>
      </c>
      <c r="F141" s="1" t="str">
        <f t="shared" si="2"/>
        <v>201403</v>
      </c>
    </row>
    <row r="142" spans="1:6" x14ac:dyDescent="0.25">
      <c r="A142" s="1">
        <v>41729</v>
      </c>
      <c r="B142" s="1">
        <v>42460</v>
      </c>
      <c r="C142">
        <v>8</v>
      </c>
      <c r="D142">
        <v>37634.198859999997</v>
      </c>
      <c r="E142">
        <v>0</v>
      </c>
      <c r="F142" s="1" t="str">
        <f t="shared" si="2"/>
        <v>201403</v>
      </c>
    </row>
    <row r="143" spans="1:6" x14ac:dyDescent="0.25">
      <c r="A143" s="1">
        <v>41729</v>
      </c>
      <c r="B143" s="1">
        <v>42551</v>
      </c>
      <c r="C143">
        <v>9</v>
      </c>
      <c r="D143">
        <v>37634.198859999997</v>
      </c>
      <c r="E143">
        <v>0</v>
      </c>
      <c r="F143" s="1" t="str">
        <f t="shared" si="2"/>
        <v>201403</v>
      </c>
    </row>
    <row r="144" spans="1:6" x14ac:dyDescent="0.25">
      <c r="A144" s="1">
        <v>41729</v>
      </c>
      <c r="B144" s="1">
        <v>42643</v>
      </c>
      <c r="C144">
        <v>10</v>
      </c>
      <c r="D144">
        <v>37612.44255</v>
      </c>
      <c r="E144">
        <v>0</v>
      </c>
      <c r="F144" s="1" t="str">
        <f t="shared" si="2"/>
        <v>201403</v>
      </c>
    </row>
    <row r="145" spans="1:6" x14ac:dyDescent="0.25">
      <c r="A145" s="1">
        <v>41729</v>
      </c>
      <c r="B145" s="1">
        <v>42735</v>
      </c>
      <c r="C145">
        <v>11</v>
      </c>
      <c r="D145">
        <v>37612.44255</v>
      </c>
      <c r="E145">
        <v>0</v>
      </c>
      <c r="F145" s="1" t="str">
        <f t="shared" si="2"/>
        <v>201403</v>
      </c>
    </row>
    <row r="146" spans="1:6" x14ac:dyDescent="0.25">
      <c r="A146" s="1">
        <v>41729</v>
      </c>
      <c r="B146" s="1">
        <v>42825</v>
      </c>
      <c r="C146">
        <v>12</v>
      </c>
      <c r="D146">
        <v>37599.796840000003</v>
      </c>
      <c r="E146">
        <v>0</v>
      </c>
      <c r="F146" s="1" t="str">
        <f t="shared" si="2"/>
        <v>201403</v>
      </c>
    </row>
    <row r="147" spans="1:6" x14ac:dyDescent="0.25">
      <c r="A147" s="1">
        <v>41729</v>
      </c>
      <c r="B147" s="1">
        <v>42916</v>
      </c>
      <c r="C147">
        <v>13</v>
      </c>
      <c r="D147">
        <v>37599.796840000003</v>
      </c>
      <c r="E147">
        <v>0</v>
      </c>
      <c r="F147" s="1" t="str">
        <f t="shared" si="2"/>
        <v>201403</v>
      </c>
    </row>
    <row r="148" spans="1:6" x14ac:dyDescent="0.25">
      <c r="A148" s="1">
        <v>41729</v>
      </c>
      <c r="B148" s="1">
        <v>43008</v>
      </c>
      <c r="C148">
        <v>14</v>
      </c>
      <c r="D148">
        <v>37599.796840000003</v>
      </c>
      <c r="E148">
        <v>0</v>
      </c>
      <c r="F148" s="1" t="str">
        <f t="shared" si="2"/>
        <v>201403</v>
      </c>
    </row>
    <row r="149" spans="1:6" x14ac:dyDescent="0.25">
      <c r="A149" s="1">
        <v>41729</v>
      </c>
      <c r="B149" s="1">
        <v>43100</v>
      </c>
      <c r="C149">
        <v>15</v>
      </c>
      <c r="D149">
        <v>37599.796840000003</v>
      </c>
      <c r="E149">
        <v>0</v>
      </c>
      <c r="F149" s="1" t="str">
        <f t="shared" si="2"/>
        <v>201403</v>
      </c>
    </row>
    <row r="150" spans="1:6" x14ac:dyDescent="0.25">
      <c r="A150" s="1">
        <v>41729</v>
      </c>
      <c r="B150" s="1">
        <v>43190</v>
      </c>
      <c r="C150">
        <v>16</v>
      </c>
      <c r="D150">
        <v>37599.796840000003</v>
      </c>
      <c r="E150">
        <v>0</v>
      </c>
      <c r="F150" s="1" t="str">
        <f t="shared" si="2"/>
        <v>201403</v>
      </c>
    </row>
    <row r="151" spans="1:6" x14ac:dyDescent="0.25">
      <c r="A151" s="1">
        <v>41729</v>
      </c>
      <c r="B151" s="1">
        <v>43281</v>
      </c>
      <c r="C151">
        <v>17</v>
      </c>
      <c r="D151">
        <v>37599.820570000003</v>
      </c>
      <c r="E151">
        <v>0</v>
      </c>
      <c r="F151" s="1" t="str">
        <f t="shared" si="2"/>
        <v>201403</v>
      </c>
    </row>
    <row r="152" spans="1:6" x14ac:dyDescent="0.25">
      <c r="A152" s="1">
        <v>41729</v>
      </c>
      <c r="B152" s="1">
        <v>43373</v>
      </c>
      <c r="C152">
        <v>18</v>
      </c>
      <c r="D152">
        <v>37599.820570000003</v>
      </c>
      <c r="E152">
        <v>0</v>
      </c>
      <c r="F152" s="1" t="str">
        <f t="shared" si="2"/>
        <v>201403</v>
      </c>
    </row>
    <row r="153" spans="1:6" x14ac:dyDescent="0.25">
      <c r="A153" s="1">
        <v>41729</v>
      </c>
      <c r="B153" s="1">
        <v>43465</v>
      </c>
      <c r="C153">
        <v>19</v>
      </c>
      <c r="D153">
        <v>37599.796840000003</v>
      </c>
      <c r="E153">
        <v>0</v>
      </c>
      <c r="F153" s="1" t="str">
        <f t="shared" si="2"/>
        <v>201403</v>
      </c>
    </row>
    <row r="154" spans="1:6" x14ac:dyDescent="0.25">
      <c r="A154" s="1">
        <v>41729</v>
      </c>
      <c r="B154" s="1">
        <v>43555</v>
      </c>
      <c r="C154">
        <v>20</v>
      </c>
      <c r="D154">
        <v>37599.820570000003</v>
      </c>
      <c r="E154">
        <v>0</v>
      </c>
      <c r="F154" s="1" t="str">
        <f t="shared" si="2"/>
        <v>201403</v>
      </c>
    </row>
    <row r="155" spans="1:6" x14ac:dyDescent="0.25">
      <c r="A155" s="1">
        <v>41820</v>
      </c>
      <c r="B155" s="1">
        <v>42094</v>
      </c>
      <c r="C155">
        <v>3</v>
      </c>
      <c r="D155">
        <v>38611.975509999997</v>
      </c>
      <c r="E155">
        <v>0</v>
      </c>
      <c r="F155" s="1" t="str">
        <f t="shared" si="2"/>
        <v>201406</v>
      </c>
    </row>
    <row r="156" spans="1:6" x14ac:dyDescent="0.25">
      <c r="A156" s="1">
        <v>41820</v>
      </c>
      <c r="B156" s="1">
        <v>42185</v>
      </c>
      <c r="C156">
        <v>4</v>
      </c>
      <c r="D156">
        <v>37948.230009999999</v>
      </c>
      <c r="E156">
        <v>0</v>
      </c>
      <c r="F156" s="1" t="str">
        <f t="shared" si="2"/>
        <v>201406</v>
      </c>
    </row>
    <row r="157" spans="1:6" x14ac:dyDescent="0.25">
      <c r="A157" s="1">
        <v>41820</v>
      </c>
      <c r="B157" s="1">
        <v>42277</v>
      </c>
      <c r="C157">
        <v>5</v>
      </c>
      <c r="D157">
        <v>38007.567569999999</v>
      </c>
      <c r="E157">
        <v>0</v>
      </c>
      <c r="F157" s="1" t="str">
        <f t="shared" si="2"/>
        <v>201406</v>
      </c>
    </row>
    <row r="158" spans="1:6" x14ac:dyDescent="0.25">
      <c r="A158" s="1">
        <v>41820</v>
      </c>
      <c r="B158" s="1">
        <v>42369</v>
      </c>
      <c r="C158">
        <v>6</v>
      </c>
      <c r="D158">
        <v>38109.231480000002</v>
      </c>
      <c r="E158">
        <v>0</v>
      </c>
      <c r="F158" s="1" t="str">
        <f t="shared" si="2"/>
        <v>201406</v>
      </c>
    </row>
    <row r="159" spans="1:6" x14ac:dyDescent="0.25">
      <c r="A159" s="1">
        <v>41820</v>
      </c>
      <c r="B159" s="1">
        <v>42460</v>
      </c>
      <c r="C159">
        <v>7</v>
      </c>
      <c r="D159">
        <v>38098.744789999997</v>
      </c>
      <c r="E159">
        <v>0</v>
      </c>
      <c r="F159" s="1" t="str">
        <f t="shared" si="2"/>
        <v>201406</v>
      </c>
    </row>
    <row r="160" spans="1:6" x14ac:dyDescent="0.25">
      <c r="A160" s="1">
        <v>41820</v>
      </c>
      <c r="B160" s="1">
        <v>42551</v>
      </c>
      <c r="C160">
        <v>8</v>
      </c>
      <c r="D160">
        <v>38210.088710000004</v>
      </c>
      <c r="E160">
        <v>0</v>
      </c>
      <c r="F160" s="1" t="str">
        <f t="shared" si="2"/>
        <v>201406</v>
      </c>
    </row>
    <row r="161" spans="1:6" x14ac:dyDescent="0.25">
      <c r="A161" s="1">
        <v>41820</v>
      </c>
      <c r="B161" s="1">
        <v>42643</v>
      </c>
      <c r="C161">
        <v>9</v>
      </c>
      <c r="D161">
        <v>38178.842190000003</v>
      </c>
      <c r="E161">
        <v>0</v>
      </c>
      <c r="F161" s="1" t="str">
        <f t="shared" si="2"/>
        <v>201406</v>
      </c>
    </row>
    <row r="162" spans="1:6" x14ac:dyDescent="0.25">
      <c r="A162" s="1">
        <v>41820</v>
      </c>
      <c r="B162" s="1">
        <v>42735</v>
      </c>
      <c r="C162">
        <v>10</v>
      </c>
      <c r="D162">
        <v>38178.842190000003</v>
      </c>
      <c r="E162">
        <v>0</v>
      </c>
      <c r="F162" s="1" t="str">
        <f t="shared" si="2"/>
        <v>201406</v>
      </c>
    </row>
    <row r="163" spans="1:6" x14ac:dyDescent="0.25">
      <c r="A163" s="1">
        <v>41820</v>
      </c>
      <c r="B163" s="1">
        <v>42825</v>
      </c>
      <c r="C163">
        <v>11</v>
      </c>
      <c r="D163">
        <v>38177.655910000001</v>
      </c>
      <c r="E163">
        <v>0</v>
      </c>
      <c r="F163" s="1" t="str">
        <f t="shared" si="2"/>
        <v>201406</v>
      </c>
    </row>
    <row r="164" spans="1:6" x14ac:dyDescent="0.25">
      <c r="A164" s="1">
        <v>41820</v>
      </c>
      <c r="B164" s="1">
        <v>42916</v>
      </c>
      <c r="C164">
        <v>12</v>
      </c>
      <c r="D164">
        <v>38177.655910000001</v>
      </c>
      <c r="E164">
        <v>0</v>
      </c>
      <c r="F164" s="1" t="str">
        <f t="shared" si="2"/>
        <v>201406</v>
      </c>
    </row>
    <row r="165" spans="1:6" x14ac:dyDescent="0.25">
      <c r="A165" s="1">
        <v>41820</v>
      </c>
      <c r="B165" s="1">
        <v>43008</v>
      </c>
      <c r="C165">
        <v>13</v>
      </c>
      <c r="D165">
        <v>38177.655910000001</v>
      </c>
      <c r="E165">
        <v>0</v>
      </c>
      <c r="F165" s="1" t="str">
        <f t="shared" si="2"/>
        <v>201406</v>
      </c>
    </row>
    <row r="166" spans="1:6" x14ac:dyDescent="0.25">
      <c r="A166" s="1">
        <v>41820</v>
      </c>
      <c r="B166" s="1">
        <v>43100</v>
      </c>
      <c r="C166">
        <v>14</v>
      </c>
      <c r="D166">
        <v>38177.655910000001</v>
      </c>
      <c r="E166">
        <v>0</v>
      </c>
      <c r="F166" s="1" t="str">
        <f t="shared" si="2"/>
        <v>201406</v>
      </c>
    </row>
    <row r="167" spans="1:6" x14ac:dyDescent="0.25">
      <c r="A167" s="1">
        <v>41820</v>
      </c>
      <c r="B167" s="1">
        <v>43190</v>
      </c>
      <c r="C167">
        <v>15</v>
      </c>
      <c r="D167">
        <v>38177.655910000001</v>
      </c>
      <c r="E167">
        <v>0</v>
      </c>
      <c r="F167" s="1" t="str">
        <f t="shared" si="2"/>
        <v>201406</v>
      </c>
    </row>
    <row r="168" spans="1:6" x14ac:dyDescent="0.25">
      <c r="A168" s="1">
        <v>41820</v>
      </c>
      <c r="B168" s="1">
        <v>43281</v>
      </c>
      <c r="C168">
        <v>16</v>
      </c>
      <c r="D168">
        <v>38177.655910000001</v>
      </c>
      <c r="E168">
        <v>0</v>
      </c>
      <c r="F168" s="1" t="str">
        <f t="shared" si="2"/>
        <v>201406</v>
      </c>
    </row>
    <row r="169" spans="1:6" x14ac:dyDescent="0.25">
      <c r="A169" s="1">
        <v>41820</v>
      </c>
      <c r="B169" s="1">
        <v>43373</v>
      </c>
      <c r="C169">
        <v>17</v>
      </c>
      <c r="D169">
        <v>38177.655910000001</v>
      </c>
      <c r="E169">
        <v>0</v>
      </c>
      <c r="F169" s="1" t="str">
        <f t="shared" si="2"/>
        <v>201406</v>
      </c>
    </row>
    <row r="170" spans="1:6" x14ac:dyDescent="0.25">
      <c r="A170" s="1">
        <v>41820</v>
      </c>
      <c r="B170" s="1">
        <v>43465</v>
      </c>
      <c r="C170">
        <v>18</v>
      </c>
      <c r="D170">
        <v>38175.401989999998</v>
      </c>
      <c r="E170">
        <v>0</v>
      </c>
      <c r="F170" s="1" t="str">
        <f t="shared" si="2"/>
        <v>201406</v>
      </c>
    </row>
    <row r="171" spans="1:6" x14ac:dyDescent="0.25">
      <c r="A171" s="1">
        <v>41820</v>
      </c>
      <c r="B171" s="1">
        <v>43555</v>
      </c>
      <c r="C171">
        <v>19</v>
      </c>
      <c r="D171">
        <v>38175.401989999998</v>
      </c>
      <c r="E171">
        <v>0</v>
      </c>
      <c r="F171" s="1" t="str">
        <f t="shared" si="2"/>
        <v>201406</v>
      </c>
    </row>
    <row r="172" spans="1:6" x14ac:dyDescent="0.25">
      <c r="A172" s="1">
        <v>41820</v>
      </c>
      <c r="B172" s="1">
        <v>43646</v>
      </c>
      <c r="C172">
        <v>20</v>
      </c>
      <c r="D172">
        <v>38185.722589999998</v>
      </c>
      <c r="E172">
        <v>0</v>
      </c>
      <c r="F172" s="1" t="str">
        <f t="shared" si="2"/>
        <v>201406</v>
      </c>
    </row>
    <row r="173" spans="1:6" x14ac:dyDescent="0.25">
      <c r="A173" s="1">
        <v>41912</v>
      </c>
      <c r="B173" s="1">
        <v>42094</v>
      </c>
      <c r="C173">
        <v>2</v>
      </c>
      <c r="D173">
        <v>35282.144469999999</v>
      </c>
      <c r="E173">
        <v>0</v>
      </c>
      <c r="F173" s="1" t="str">
        <f t="shared" si="2"/>
        <v>201409</v>
      </c>
    </row>
    <row r="174" spans="1:6" x14ac:dyDescent="0.25">
      <c r="A174" s="1">
        <v>41912</v>
      </c>
      <c r="B174" s="1">
        <v>42185</v>
      </c>
      <c r="C174">
        <v>3</v>
      </c>
      <c r="D174">
        <v>34872.143550000001</v>
      </c>
      <c r="E174">
        <v>0</v>
      </c>
      <c r="F174" s="1" t="str">
        <f t="shared" si="2"/>
        <v>201409</v>
      </c>
    </row>
    <row r="175" spans="1:6" x14ac:dyDescent="0.25">
      <c r="A175" s="1">
        <v>41912</v>
      </c>
      <c r="B175" s="1">
        <v>42277</v>
      </c>
      <c r="C175">
        <v>4</v>
      </c>
      <c r="D175">
        <v>35780.523009999997</v>
      </c>
      <c r="E175">
        <v>0</v>
      </c>
      <c r="F175" s="1" t="str">
        <f t="shared" si="2"/>
        <v>201409</v>
      </c>
    </row>
    <row r="176" spans="1:6" x14ac:dyDescent="0.25">
      <c r="A176" s="1">
        <v>41912</v>
      </c>
      <c r="B176" s="1">
        <v>42369</v>
      </c>
      <c r="C176">
        <v>5</v>
      </c>
      <c r="D176">
        <v>35467.417159999997</v>
      </c>
      <c r="E176">
        <v>0</v>
      </c>
      <c r="F176" s="1" t="str">
        <f t="shared" si="2"/>
        <v>201409</v>
      </c>
    </row>
    <row r="177" spans="1:6" x14ac:dyDescent="0.25">
      <c r="A177" s="1">
        <v>41912</v>
      </c>
      <c r="B177" s="1">
        <v>42460</v>
      </c>
      <c r="C177">
        <v>6</v>
      </c>
      <c r="D177">
        <v>35473.395989999997</v>
      </c>
      <c r="E177">
        <v>0</v>
      </c>
      <c r="F177" s="1" t="str">
        <f t="shared" si="2"/>
        <v>201409</v>
      </c>
    </row>
    <row r="178" spans="1:6" x14ac:dyDescent="0.25">
      <c r="A178" s="1">
        <v>41912</v>
      </c>
      <c r="B178" s="1">
        <v>42551</v>
      </c>
      <c r="C178">
        <v>7</v>
      </c>
      <c r="D178">
        <v>35477.310709999998</v>
      </c>
      <c r="E178">
        <v>0</v>
      </c>
      <c r="F178" s="1" t="str">
        <f t="shared" si="2"/>
        <v>201409</v>
      </c>
    </row>
    <row r="179" spans="1:6" x14ac:dyDescent="0.25">
      <c r="A179" s="1">
        <v>41912</v>
      </c>
      <c r="B179" s="1">
        <v>42643</v>
      </c>
      <c r="C179">
        <v>8</v>
      </c>
      <c r="D179">
        <v>35450.192419999999</v>
      </c>
      <c r="E179">
        <v>0</v>
      </c>
      <c r="F179" s="1" t="str">
        <f t="shared" si="2"/>
        <v>201409</v>
      </c>
    </row>
    <row r="180" spans="1:6" x14ac:dyDescent="0.25">
      <c r="A180" s="1">
        <v>41912</v>
      </c>
      <c r="B180" s="1">
        <v>42735</v>
      </c>
      <c r="C180">
        <v>9</v>
      </c>
      <c r="D180">
        <v>35662.915549999998</v>
      </c>
      <c r="E180">
        <v>0</v>
      </c>
      <c r="F180" s="1" t="str">
        <f t="shared" si="2"/>
        <v>201409</v>
      </c>
    </row>
    <row r="181" spans="1:6" x14ac:dyDescent="0.25">
      <c r="A181" s="1">
        <v>41912</v>
      </c>
      <c r="B181" s="1">
        <v>42825</v>
      </c>
      <c r="C181">
        <v>10</v>
      </c>
      <c r="D181">
        <v>35628.347439999998</v>
      </c>
      <c r="E181">
        <v>0</v>
      </c>
      <c r="F181" s="1" t="str">
        <f t="shared" si="2"/>
        <v>201409</v>
      </c>
    </row>
    <row r="182" spans="1:6" x14ac:dyDescent="0.25">
      <c r="A182" s="1">
        <v>41912</v>
      </c>
      <c r="B182" s="1">
        <v>42916</v>
      </c>
      <c r="C182">
        <v>11</v>
      </c>
      <c r="D182">
        <v>35557.69281</v>
      </c>
      <c r="E182">
        <v>0</v>
      </c>
      <c r="F182" s="1" t="str">
        <f t="shared" si="2"/>
        <v>201409</v>
      </c>
    </row>
    <row r="183" spans="1:6" x14ac:dyDescent="0.25">
      <c r="A183" s="1">
        <v>41912</v>
      </c>
      <c r="B183" s="1">
        <v>43008</v>
      </c>
      <c r="C183">
        <v>12</v>
      </c>
      <c r="D183">
        <v>35557.69281</v>
      </c>
      <c r="E183">
        <v>0</v>
      </c>
      <c r="F183" s="1" t="str">
        <f t="shared" si="2"/>
        <v>201409</v>
      </c>
    </row>
    <row r="184" spans="1:6" x14ac:dyDescent="0.25">
      <c r="A184" s="1">
        <v>41912</v>
      </c>
      <c r="B184" s="1">
        <v>43100</v>
      </c>
      <c r="C184">
        <v>13</v>
      </c>
      <c r="D184">
        <v>35563.695370000001</v>
      </c>
      <c r="E184">
        <v>0</v>
      </c>
      <c r="F184" s="1" t="str">
        <f t="shared" si="2"/>
        <v>201409</v>
      </c>
    </row>
    <row r="185" spans="1:6" x14ac:dyDescent="0.25">
      <c r="A185" s="1">
        <v>41912</v>
      </c>
      <c r="B185" s="1">
        <v>43190</v>
      </c>
      <c r="C185">
        <v>14</v>
      </c>
      <c r="D185">
        <v>35563.695370000001</v>
      </c>
      <c r="E185">
        <v>0</v>
      </c>
      <c r="F185" s="1" t="str">
        <f t="shared" si="2"/>
        <v>201409</v>
      </c>
    </row>
    <row r="186" spans="1:6" x14ac:dyDescent="0.25">
      <c r="A186" s="1">
        <v>41912</v>
      </c>
      <c r="B186" s="1">
        <v>43281</v>
      </c>
      <c r="C186">
        <v>15</v>
      </c>
      <c r="D186">
        <v>35576.127549999997</v>
      </c>
      <c r="E186">
        <v>0</v>
      </c>
      <c r="F186" s="1" t="str">
        <f t="shared" si="2"/>
        <v>201409</v>
      </c>
    </row>
    <row r="187" spans="1:6" x14ac:dyDescent="0.25">
      <c r="A187" s="1">
        <v>41912</v>
      </c>
      <c r="B187" s="1">
        <v>43373</v>
      </c>
      <c r="C187">
        <v>16</v>
      </c>
      <c r="D187">
        <v>35576.127549999997</v>
      </c>
      <c r="E187">
        <v>0</v>
      </c>
      <c r="F187" s="1" t="str">
        <f t="shared" si="2"/>
        <v>201409</v>
      </c>
    </row>
    <row r="188" spans="1:6" x14ac:dyDescent="0.25">
      <c r="A188" s="1">
        <v>41912</v>
      </c>
      <c r="B188" s="1">
        <v>43465</v>
      </c>
      <c r="C188">
        <v>17</v>
      </c>
      <c r="D188">
        <v>35570.884209999997</v>
      </c>
      <c r="E188">
        <v>0</v>
      </c>
      <c r="F188" s="1" t="str">
        <f t="shared" si="2"/>
        <v>201409</v>
      </c>
    </row>
    <row r="189" spans="1:6" x14ac:dyDescent="0.25">
      <c r="A189" s="1">
        <v>41912</v>
      </c>
      <c r="B189" s="1">
        <v>43555</v>
      </c>
      <c r="C189">
        <v>18</v>
      </c>
      <c r="D189">
        <v>35570.884209999997</v>
      </c>
      <c r="E189">
        <v>0</v>
      </c>
      <c r="F189" s="1" t="str">
        <f t="shared" si="2"/>
        <v>201409</v>
      </c>
    </row>
    <row r="190" spans="1:6" x14ac:dyDescent="0.25">
      <c r="A190" s="1">
        <v>41912</v>
      </c>
      <c r="B190" s="1">
        <v>43646</v>
      </c>
      <c r="C190">
        <v>19</v>
      </c>
      <c r="D190">
        <v>35568.914989999997</v>
      </c>
      <c r="E190">
        <v>0</v>
      </c>
      <c r="F190" s="1" t="str">
        <f t="shared" si="2"/>
        <v>201409</v>
      </c>
    </row>
    <row r="191" spans="1:6" x14ac:dyDescent="0.25">
      <c r="A191" s="1">
        <v>41912</v>
      </c>
      <c r="B191" s="1">
        <v>43738</v>
      </c>
      <c r="C191">
        <v>20</v>
      </c>
      <c r="D191">
        <v>35555.58124</v>
      </c>
      <c r="E191">
        <v>0</v>
      </c>
      <c r="F191" s="1" t="str">
        <f t="shared" si="2"/>
        <v>201409</v>
      </c>
    </row>
    <row r="192" spans="1:6" x14ac:dyDescent="0.25">
      <c r="A192" s="1">
        <v>42004</v>
      </c>
      <c r="B192" s="1">
        <v>42094</v>
      </c>
      <c r="C192">
        <v>1</v>
      </c>
      <c r="D192">
        <v>35454.984980000001</v>
      </c>
      <c r="E192">
        <v>0</v>
      </c>
      <c r="F192" s="1" t="str">
        <f t="shared" si="2"/>
        <v>201412</v>
      </c>
    </row>
    <row r="193" spans="1:6" x14ac:dyDescent="0.25">
      <c r="A193" s="1">
        <v>42004</v>
      </c>
      <c r="B193" s="1">
        <v>42185</v>
      </c>
      <c r="C193">
        <v>2</v>
      </c>
      <c r="D193">
        <v>36729.971369999999</v>
      </c>
      <c r="E193">
        <v>0</v>
      </c>
      <c r="F193" s="1" t="str">
        <f t="shared" si="2"/>
        <v>201412</v>
      </c>
    </row>
    <row r="194" spans="1:6" x14ac:dyDescent="0.25">
      <c r="A194" s="1">
        <v>42004</v>
      </c>
      <c r="B194" s="1">
        <v>42277</v>
      </c>
      <c r="C194">
        <v>3</v>
      </c>
      <c r="D194">
        <v>37065.545299999998</v>
      </c>
      <c r="E194">
        <v>0</v>
      </c>
      <c r="F194" s="1" t="str">
        <f t="shared" si="2"/>
        <v>201412</v>
      </c>
    </row>
    <row r="195" spans="1:6" x14ac:dyDescent="0.25">
      <c r="A195" s="1">
        <v>42004</v>
      </c>
      <c r="B195" s="1">
        <v>42369</v>
      </c>
      <c r="C195">
        <v>4</v>
      </c>
      <c r="D195">
        <v>36676.588920000002</v>
      </c>
      <c r="E195">
        <v>0</v>
      </c>
      <c r="F195" s="1" t="str">
        <f t="shared" ref="F195:F211" si="3">YEAR(A195)&amp;IF(LEN(MONTH(A195))=1,"0"&amp;MONTH(A195),MONTH(A195))</f>
        <v>201412</v>
      </c>
    </row>
    <row r="196" spans="1:6" x14ac:dyDescent="0.25">
      <c r="A196" s="1">
        <v>42004</v>
      </c>
      <c r="B196" s="1">
        <v>42460</v>
      </c>
      <c r="C196">
        <v>5</v>
      </c>
      <c r="D196">
        <v>36631.462959999997</v>
      </c>
      <c r="E196">
        <v>0</v>
      </c>
      <c r="F196" s="1" t="str">
        <f t="shared" si="3"/>
        <v>201412</v>
      </c>
    </row>
    <row r="197" spans="1:6" x14ac:dyDescent="0.25">
      <c r="A197" s="1">
        <v>42004</v>
      </c>
      <c r="B197" s="1">
        <v>42551</v>
      </c>
      <c r="C197">
        <v>6</v>
      </c>
      <c r="D197">
        <v>36391.882530000003</v>
      </c>
      <c r="E197">
        <v>0</v>
      </c>
      <c r="F197" s="1" t="str">
        <f t="shared" si="3"/>
        <v>201412</v>
      </c>
    </row>
    <row r="198" spans="1:6" x14ac:dyDescent="0.25">
      <c r="A198" s="1">
        <v>42004</v>
      </c>
      <c r="B198" s="1">
        <v>42643</v>
      </c>
      <c r="C198">
        <v>7</v>
      </c>
      <c r="D198">
        <v>36360.659729999999</v>
      </c>
      <c r="E198">
        <v>0</v>
      </c>
      <c r="F198" s="1" t="str">
        <f t="shared" si="3"/>
        <v>201412</v>
      </c>
    </row>
    <row r="199" spans="1:6" x14ac:dyDescent="0.25">
      <c r="A199" s="1">
        <v>42004</v>
      </c>
      <c r="B199" s="1">
        <v>42735</v>
      </c>
      <c r="C199">
        <v>8</v>
      </c>
      <c r="D199">
        <v>36376.366029999997</v>
      </c>
      <c r="E199">
        <v>0</v>
      </c>
      <c r="F199" s="1" t="str">
        <f t="shared" si="3"/>
        <v>201412</v>
      </c>
    </row>
    <row r="200" spans="1:6" x14ac:dyDescent="0.25">
      <c r="A200" s="1">
        <v>42004</v>
      </c>
      <c r="B200" s="1">
        <v>42825</v>
      </c>
      <c r="C200">
        <v>9</v>
      </c>
      <c r="D200">
        <v>36386.781540000004</v>
      </c>
      <c r="E200">
        <v>0</v>
      </c>
      <c r="F200" s="1" t="str">
        <f t="shared" si="3"/>
        <v>201412</v>
      </c>
    </row>
    <row r="201" spans="1:6" x14ac:dyDescent="0.25">
      <c r="A201" s="1">
        <v>42004</v>
      </c>
      <c r="B201" s="1">
        <v>42916</v>
      </c>
      <c r="C201">
        <v>10</v>
      </c>
      <c r="D201">
        <v>36420.495519999997</v>
      </c>
      <c r="E201">
        <v>0</v>
      </c>
      <c r="F201" s="1" t="str">
        <f t="shared" si="3"/>
        <v>201412</v>
      </c>
    </row>
    <row r="202" spans="1:6" x14ac:dyDescent="0.25">
      <c r="A202" s="1">
        <v>42004</v>
      </c>
      <c r="B202" s="1">
        <v>43008</v>
      </c>
      <c r="C202">
        <v>11</v>
      </c>
      <c r="D202">
        <v>36420.495519999997</v>
      </c>
      <c r="E202">
        <v>0</v>
      </c>
      <c r="F202" s="1" t="str">
        <f t="shared" si="3"/>
        <v>201412</v>
      </c>
    </row>
    <row r="203" spans="1:6" x14ac:dyDescent="0.25">
      <c r="A203" s="1">
        <v>42004</v>
      </c>
      <c r="B203" s="1">
        <v>43100</v>
      </c>
      <c r="C203">
        <v>12</v>
      </c>
      <c r="D203">
        <v>36430.911030000003</v>
      </c>
      <c r="E203">
        <v>0</v>
      </c>
      <c r="F203" s="1" t="str">
        <f t="shared" si="3"/>
        <v>201412</v>
      </c>
    </row>
    <row r="204" spans="1:6" x14ac:dyDescent="0.25">
      <c r="A204" s="1">
        <v>42004</v>
      </c>
      <c r="B204" s="1">
        <v>43190</v>
      </c>
      <c r="C204">
        <v>13</v>
      </c>
      <c r="D204">
        <v>36445.027719999998</v>
      </c>
      <c r="E204">
        <v>0</v>
      </c>
      <c r="F204" s="1" t="str">
        <f t="shared" si="3"/>
        <v>201412</v>
      </c>
    </row>
    <row r="205" spans="1:6" x14ac:dyDescent="0.25">
      <c r="A205" s="1">
        <v>42004</v>
      </c>
      <c r="B205" s="1">
        <v>43281</v>
      </c>
      <c r="C205">
        <v>14</v>
      </c>
      <c r="D205">
        <v>36449.701650000003</v>
      </c>
      <c r="E205">
        <v>0</v>
      </c>
      <c r="F205" s="1" t="str">
        <f t="shared" si="3"/>
        <v>201412</v>
      </c>
    </row>
    <row r="206" spans="1:6" x14ac:dyDescent="0.25">
      <c r="A206" s="1">
        <v>42004</v>
      </c>
      <c r="B206" s="1">
        <v>43373</v>
      </c>
      <c r="C206">
        <v>15</v>
      </c>
      <c r="D206">
        <v>36449.867729999998</v>
      </c>
      <c r="E206">
        <v>0</v>
      </c>
      <c r="F206" s="1" t="str">
        <f t="shared" si="3"/>
        <v>201412</v>
      </c>
    </row>
    <row r="207" spans="1:6" x14ac:dyDescent="0.25">
      <c r="A207" s="1">
        <v>42004</v>
      </c>
      <c r="B207" s="1">
        <v>43465</v>
      </c>
      <c r="C207">
        <v>16</v>
      </c>
      <c r="D207">
        <v>36436.984770000003</v>
      </c>
      <c r="E207">
        <v>0</v>
      </c>
      <c r="F207" s="1" t="str">
        <f t="shared" si="3"/>
        <v>201412</v>
      </c>
    </row>
    <row r="208" spans="1:6" x14ac:dyDescent="0.25">
      <c r="A208" s="1">
        <v>42004</v>
      </c>
      <c r="B208" s="1">
        <v>43555</v>
      </c>
      <c r="C208">
        <v>17</v>
      </c>
      <c r="D208">
        <v>36436.984770000003</v>
      </c>
      <c r="E208">
        <v>0</v>
      </c>
      <c r="F208" s="1" t="str">
        <f t="shared" si="3"/>
        <v>201412</v>
      </c>
    </row>
    <row r="209" spans="1:6" x14ac:dyDescent="0.25">
      <c r="A209" s="1">
        <v>42004</v>
      </c>
      <c r="B209" s="1">
        <v>43646</v>
      </c>
      <c r="C209">
        <v>18</v>
      </c>
      <c r="D209">
        <v>36436.984770000003</v>
      </c>
      <c r="E209">
        <v>0</v>
      </c>
      <c r="F209" s="1" t="str">
        <f t="shared" si="3"/>
        <v>201412</v>
      </c>
    </row>
    <row r="210" spans="1:6" x14ac:dyDescent="0.25">
      <c r="A210" s="1">
        <v>42004</v>
      </c>
      <c r="B210" s="1">
        <v>43738</v>
      </c>
      <c r="C210">
        <v>19</v>
      </c>
      <c r="D210">
        <v>36436.984770000003</v>
      </c>
      <c r="E210">
        <v>0</v>
      </c>
      <c r="F210" s="1" t="str">
        <f t="shared" si="3"/>
        <v>201412</v>
      </c>
    </row>
    <row r="211" spans="1:6" x14ac:dyDescent="0.25">
      <c r="A211" s="1">
        <v>42004</v>
      </c>
      <c r="B211" s="1">
        <v>43830</v>
      </c>
      <c r="C211">
        <v>20</v>
      </c>
      <c r="D211">
        <v>36436.984770000003</v>
      </c>
      <c r="E211">
        <v>0</v>
      </c>
      <c r="F211" s="1" t="str">
        <f t="shared" si="3"/>
        <v>201412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47"/>
  <sheetViews>
    <sheetView topLeftCell="C17" workbookViewId="0">
      <selection activeCell="N37" sqref="N37"/>
    </sheetView>
  </sheetViews>
  <sheetFormatPr defaultRowHeight="15" x14ac:dyDescent="0.25"/>
  <cols>
    <col min="1" max="1" width="12.28515625" bestFit="1" customWidth="1"/>
    <col min="2" max="22" width="12" bestFit="1" customWidth="1"/>
  </cols>
  <sheetData>
    <row r="3" spans="1:21" x14ac:dyDescent="0.25">
      <c r="A3" s="2" t="s">
        <v>27</v>
      </c>
      <c r="B3" s="2" t="s">
        <v>2</v>
      </c>
    </row>
    <row r="4" spans="1:21" x14ac:dyDescent="0.25">
      <c r="A4" s="2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>
        <v>13</v>
      </c>
      <c r="O4">
        <v>14</v>
      </c>
      <c r="P4">
        <v>15</v>
      </c>
      <c r="Q4">
        <v>16</v>
      </c>
      <c r="R4">
        <v>17</v>
      </c>
      <c r="S4">
        <v>18</v>
      </c>
      <c r="T4">
        <v>19</v>
      </c>
      <c r="U4">
        <v>20</v>
      </c>
    </row>
    <row r="5" spans="1:21" x14ac:dyDescent="0.25">
      <c r="A5" t="s">
        <v>7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>
        <v>24096.955709999998</v>
      </c>
    </row>
    <row r="6" spans="1:21" x14ac:dyDescent="0.25">
      <c r="A6" t="s">
        <v>8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>
        <v>22592.40107</v>
      </c>
      <c r="U6" s="3">
        <v>22589.886159999998</v>
      </c>
    </row>
    <row r="7" spans="1:21" x14ac:dyDescent="0.25">
      <c r="A7" t="s">
        <v>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>
        <v>17754.29048</v>
      </c>
      <c r="T7" s="3">
        <v>17754.29048</v>
      </c>
      <c r="U7" s="3">
        <v>17754.29048</v>
      </c>
    </row>
    <row r="8" spans="1:21" x14ac:dyDescent="0.25">
      <c r="A8" t="s">
        <v>10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>
        <v>23829.94857</v>
      </c>
      <c r="S8" s="3">
        <v>23829.94857</v>
      </c>
      <c r="T8" s="3">
        <v>23828.50131</v>
      </c>
      <c r="U8" s="3">
        <v>23774.359639999999</v>
      </c>
    </row>
    <row r="9" spans="1:21" x14ac:dyDescent="0.25">
      <c r="A9" t="s">
        <v>11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>
        <v>26000.573810000002</v>
      </c>
      <c r="R9" s="3">
        <v>26000.573810000002</v>
      </c>
      <c r="S9" s="3">
        <v>26000.573810000002</v>
      </c>
      <c r="T9" s="3">
        <v>26000.573810000002</v>
      </c>
      <c r="U9" s="3">
        <v>26000.573810000002</v>
      </c>
    </row>
    <row r="10" spans="1:21" x14ac:dyDescent="0.25">
      <c r="A10" t="s">
        <v>12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>
        <v>22062.420119999999</v>
      </c>
      <c r="Q10" s="3">
        <v>22062.420119999999</v>
      </c>
      <c r="R10" s="3">
        <v>22062.420119999999</v>
      </c>
      <c r="S10" s="3">
        <v>22062.420119999999</v>
      </c>
      <c r="T10" s="3">
        <v>22062.420119999999</v>
      </c>
      <c r="U10" s="3">
        <v>22062.420119999999</v>
      </c>
    </row>
    <row r="11" spans="1:21" x14ac:dyDescent="0.25">
      <c r="A11" t="s">
        <v>13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>
        <v>25940.097430000002</v>
      </c>
      <c r="P11" s="3">
        <v>25940.097430000002</v>
      </c>
      <c r="Q11" s="3">
        <v>25940.097430000002</v>
      </c>
      <c r="R11" s="3">
        <v>25940.097430000002</v>
      </c>
      <c r="S11" s="3">
        <v>25927.688969999999</v>
      </c>
      <c r="T11" s="3">
        <v>25921.44916</v>
      </c>
      <c r="U11" s="3">
        <v>25931.959569999999</v>
      </c>
    </row>
    <row r="12" spans="1:21" x14ac:dyDescent="0.25">
      <c r="A12" t="s">
        <v>14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>
        <v>32463.954549999999</v>
      </c>
      <c r="O12" s="3">
        <v>32463.954549999999</v>
      </c>
      <c r="P12" s="3">
        <v>32463.954549999999</v>
      </c>
      <c r="Q12" s="3">
        <v>32463.954549999999</v>
      </c>
      <c r="R12" s="3">
        <v>32463.954549999999</v>
      </c>
      <c r="S12" s="3">
        <v>32463.954549999999</v>
      </c>
      <c r="T12" s="3">
        <v>32463.954549999999</v>
      </c>
      <c r="U12" s="3">
        <v>32463.954549999999</v>
      </c>
    </row>
    <row r="13" spans="1:21" x14ac:dyDescent="0.25">
      <c r="A13" t="s">
        <v>15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>
        <v>29765.697189999999</v>
      </c>
      <c r="N13" s="3">
        <v>29764.653259999999</v>
      </c>
      <c r="O13" s="3">
        <v>29763.63307</v>
      </c>
      <c r="P13" s="3">
        <v>29763.63307</v>
      </c>
      <c r="Q13" s="3">
        <v>29763.63307</v>
      </c>
      <c r="R13" s="3">
        <v>29763.63307</v>
      </c>
      <c r="S13" s="3">
        <v>29759.908159999999</v>
      </c>
      <c r="T13" s="3">
        <v>29759.908159999999</v>
      </c>
      <c r="U13" s="3">
        <v>29759.908159999999</v>
      </c>
    </row>
    <row r="14" spans="1:21" x14ac:dyDescent="0.25">
      <c r="A14" t="s">
        <v>16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>
        <v>27184.003369999999</v>
      </c>
      <c r="M14" s="3">
        <v>27184.003369999999</v>
      </c>
      <c r="N14" s="3">
        <v>27184.003369999999</v>
      </c>
      <c r="O14" s="3">
        <v>27043.738020000001</v>
      </c>
      <c r="P14" s="3">
        <v>27043.738020000001</v>
      </c>
      <c r="Q14" s="3">
        <v>27043.738020000001</v>
      </c>
      <c r="R14" s="3">
        <v>27043.738020000001</v>
      </c>
      <c r="S14" s="3">
        <v>27043.738020000001</v>
      </c>
      <c r="T14" s="3">
        <v>27043.738020000001</v>
      </c>
      <c r="U14" s="3">
        <v>27043.738020000001</v>
      </c>
    </row>
    <row r="15" spans="1:21" x14ac:dyDescent="0.25">
      <c r="A15" t="s">
        <v>17</v>
      </c>
      <c r="B15" s="3"/>
      <c r="C15" s="3"/>
      <c r="D15" s="3"/>
      <c r="E15" s="3"/>
      <c r="F15" s="3"/>
      <c r="G15" s="3"/>
      <c r="H15" s="3"/>
      <c r="I15" s="3"/>
      <c r="J15" s="3"/>
      <c r="K15" s="3">
        <v>32479.803199999998</v>
      </c>
      <c r="L15" s="3">
        <v>32317.235860000001</v>
      </c>
      <c r="M15" s="3">
        <v>32441.723720000002</v>
      </c>
      <c r="N15" s="3">
        <v>32413.253089999998</v>
      </c>
      <c r="O15" s="3">
        <v>32454.132180000001</v>
      </c>
      <c r="P15" s="3">
        <v>32454.132180000001</v>
      </c>
      <c r="Q15" s="3">
        <v>32560.849620000001</v>
      </c>
      <c r="R15" s="3">
        <v>32564.503349999999</v>
      </c>
      <c r="S15" s="3">
        <v>32564.503349999999</v>
      </c>
      <c r="T15" s="3">
        <v>32560.564920000001</v>
      </c>
      <c r="U15" s="3">
        <v>32560.564920000001</v>
      </c>
    </row>
    <row r="16" spans="1:21" x14ac:dyDescent="0.25">
      <c r="A16" t="s">
        <v>18</v>
      </c>
      <c r="B16" s="3"/>
      <c r="C16" s="3"/>
      <c r="D16" s="3"/>
      <c r="E16" s="3"/>
      <c r="F16" s="3"/>
      <c r="G16" s="3"/>
      <c r="H16" s="3"/>
      <c r="I16" s="3"/>
      <c r="J16" s="3">
        <v>41486.039069999999</v>
      </c>
      <c r="K16" s="3">
        <v>41475.599829999999</v>
      </c>
      <c r="L16" s="3">
        <v>41551.308010000001</v>
      </c>
      <c r="M16" s="3">
        <v>41551.308010000001</v>
      </c>
      <c r="N16" s="3">
        <v>41551.308010000001</v>
      </c>
      <c r="O16" s="3">
        <v>41551.308010000001</v>
      </c>
      <c r="P16" s="3">
        <v>41583.408649999998</v>
      </c>
      <c r="Q16" s="3">
        <v>41583.408649999998</v>
      </c>
      <c r="R16" s="3">
        <v>41583.408649999998</v>
      </c>
      <c r="S16" s="3">
        <v>41255.996299999999</v>
      </c>
      <c r="T16" s="3">
        <v>41214.381719999998</v>
      </c>
      <c r="U16" s="3">
        <v>41214.381719999998</v>
      </c>
    </row>
    <row r="17" spans="1:24" x14ac:dyDescent="0.25">
      <c r="A17" t="s">
        <v>19</v>
      </c>
      <c r="B17" s="3"/>
      <c r="C17" s="3"/>
      <c r="D17" s="3"/>
      <c r="E17" s="3"/>
      <c r="F17" s="3"/>
      <c r="G17" s="3"/>
      <c r="H17" s="3"/>
      <c r="I17" s="3">
        <v>38508.081400000003</v>
      </c>
      <c r="J17" s="3">
        <v>38516.290439999997</v>
      </c>
      <c r="K17" s="3">
        <v>38526.658490000002</v>
      </c>
      <c r="L17" s="3">
        <v>38510.714939999998</v>
      </c>
      <c r="M17" s="3">
        <v>38510.714939999998</v>
      </c>
      <c r="N17" s="3">
        <v>38510.714939999998</v>
      </c>
      <c r="O17" s="3">
        <v>38776.891689999997</v>
      </c>
      <c r="P17" s="3">
        <v>38729.013559999999</v>
      </c>
      <c r="Q17" s="3">
        <v>38726.641009999999</v>
      </c>
      <c r="R17" s="3">
        <v>38726.641009999999</v>
      </c>
      <c r="S17" s="3">
        <v>38726.641009999999</v>
      </c>
      <c r="T17" s="3">
        <v>38726.641009999999</v>
      </c>
      <c r="U17" s="3">
        <v>38737.056519999998</v>
      </c>
    </row>
    <row r="18" spans="1:24" x14ac:dyDescent="0.25">
      <c r="A18" t="s">
        <v>20</v>
      </c>
      <c r="B18" s="3"/>
      <c r="C18" s="3"/>
      <c r="D18" s="3"/>
      <c r="E18" s="3"/>
      <c r="F18" s="3"/>
      <c r="G18" s="3"/>
      <c r="H18" s="3">
        <v>26322.956340000001</v>
      </c>
      <c r="I18" s="3">
        <v>26318.306140000001</v>
      </c>
      <c r="J18" s="3">
        <v>26309.005730000001</v>
      </c>
      <c r="K18" s="3">
        <v>26621.186290000001</v>
      </c>
      <c r="L18" s="3">
        <v>26621.186290000001</v>
      </c>
      <c r="M18" s="3">
        <v>26639.73965</v>
      </c>
      <c r="N18" s="3">
        <v>26639.73965</v>
      </c>
      <c r="O18" s="3">
        <v>26624.341779999999</v>
      </c>
      <c r="P18" s="3">
        <v>26624.341779999999</v>
      </c>
      <c r="Q18" s="3">
        <v>26623.630020000001</v>
      </c>
      <c r="R18" s="3">
        <v>26623.630020000001</v>
      </c>
      <c r="S18" s="3">
        <v>26623.630020000001</v>
      </c>
      <c r="T18" s="3">
        <v>26623.630020000001</v>
      </c>
      <c r="U18" s="3">
        <v>26623.630020000001</v>
      </c>
    </row>
    <row r="19" spans="1:24" x14ac:dyDescent="0.25">
      <c r="A19" t="s">
        <v>21</v>
      </c>
      <c r="B19" s="3"/>
      <c r="C19" s="3"/>
      <c r="D19" s="3"/>
      <c r="E19" s="3"/>
      <c r="F19" s="3"/>
      <c r="G19" s="3">
        <v>27364.72075</v>
      </c>
      <c r="H19" s="3">
        <v>27262.700959999998</v>
      </c>
      <c r="I19" s="3">
        <v>27243.910339999999</v>
      </c>
      <c r="J19" s="3">
        <v>27246.164260000001</v>
      </c>
      <c r="K19" s="3">
        <v>27256.556049999999</v>
      </c>
      <c r="L19" s="3">
        <v>27246.14054</v>
      </c>
      <c r="M19" s="3">
        <v>27246.14054</v>
      </c>
      <c r="N19" s="3">
        <v>27258.643889999999</v>
      </c>
      <c r="O19" s="3">
        <v>27258.643889999999</v>
      </c>
      <c r="P19" s="3">
        <v>27258.643889999999</v>
      </c>
      <c r="Q19" s="3">
        <v>27258.643889999999</v>
      </c>
      <c r="R19" s="3">
        <v>27258.643889999999</v>
      </c>
      <c r="S19" s="3">
        <v>27258.643889999999</v>
      </c>
      <c r="T19" s="3">
        <v>27258.66762</v>
      </c>
      <c r="U19" s="3">
        <v>27258.643889999999</v>
      </c>
    </row>
    <row r="20" spans="1:24" x14ac:dyDescent="0.25">
      <c r="A20" t="s">
        <v>22</v>
      </c>
      <c r="B20" s="3"/>
      <c r="C20" s="3"/>
      <c r="D20" s="3"/>
      <c r="E20" s="3"/>
      <c r="F20" s="3">
        <v>45806.36363</v>
      </c>
      <c r="G20" s="3">
        <v>44432.845099999999</v>
      </c>
      <c r="H20" s="3">
        <v>44633.705459999997</v>
      </c>
      <c r="I20" s="3">
        <v>44637.715080000002</v>
      </c>
      <c r="J20" s="3">
        <v>44694.015769999998</v>
      </c>
      <c r="K20" s="3">
        <v>44694.015769999998</v>
      </c>
      <c r="L20" s="3">
        <v>44683.576529999998</v>
      </c>
      <c r="M20" s="3">
        <v>44481.434990000002</v>
      </c>
      <c r="N20" s="3">
        <v>44528.719980000002</v>
      </c>
      <c r="O20" s="3">
        <v>44567.202790000003</v>
      </c>
      <c r="P20" s="3">
        <v>44675.652199999997</v>
      </c>
      <c r="Q20" s="3">
        <v>44707.041080000003</v>
      </c>
      <c r="R20" s="3">
        <v>44790.293980000002</v>
      </c>
      <c r="S20" s="3">
        <v>44837.151899999997</v>
      </c>
      <c r="T20" s="3">
        <v>44883.060810000003</v>
      </c>
      <c r="U20" s="3">
        <v>44814.470289999997</v>
      </c>
    </row>
    <row r="21" spans="1:24" x14ac:dyDescent="0.25">
      <c r="A21" t="s">
        <v>23</v>
      </c>
      <c r="B21" s="3"/>
      <c r="C21" s="3"/>
      <c r="D21" s="3"/>
      <c r="E21" s="3">
        <v>37946.521769999999</v>
      </c>
      <c r="F21" s="3">
        <v>37692.445050000002</v>
      </c>
      <c r="G21" s="3">
        <v>37686.371310000002</v>
      </c>
      <c r="H21" s="3">
        <v>37629.216500000002</v>
      </c>
      <c r="I21" s="3">
        <v>37634.198859999997</v>
      </c>
      <c r="J21" s="3">
        <v>37634.198859999997</v>
      </c>
      <c r="K21" s="3">
        <v>37612.44255</v>
      </c>
      <c r="L21" s="3">
        <v>37612.44255</v>
      </c>
      <c r="M21" s="3">
        <v>37599.796840000003</v>
      </c>
      <c r="N21" s="3">
        <v>37599.796840000003</v>
      </c>
      <c r="O21" s="3">
        <v>37599.796840000003</v>
      </c>
      <c r="P21" s="3">
        <v>37599.796840000003</v>
      </c>
      <c r="Q21" s="3">
        <v>37599.796840000003</v>
      </c>
      <c r="R21" s="3">
        <v>37599.820570000003</v>
      </c>
      <c r="S21" s="3">
        <v>37599.820570000003</v>
      </c>
      <c r="T21" s="3">
        <v>37599.796840000003</v>
      </c>
      <c r="U21" s="3">
        <v>37599.820570000003</v>
      </c>
    </row>
    <row r="22" spans="1:24" x14ac:dyDescent="0.25">
      <c r="A22" t="s">
        <v>24</v>
      </c>
      <c r="B22" s="3"/>
      <c r="C22" s="3"/>
      <c r="D22" s="3">
        <v>38611.975509999997</v>
      </c>
      <c r="E22" s="3">
        <v>37948.230009999999</v>
      </c>
      <c r="F22" s="3">
        <v>38007.567569999999</v>
      </c>
      <c r="G22" s="3">
        <v>38109.231480000002</v>
      </c>
      <c r="H22" s="3">
        <v>38098.744789999997</v>
      </c>
      <c r="I22" s="3">
        <v>38210.088710000004</v>
      </c>
      <c r="J22" s="3">
        <v>38178.842190000003</v>
      </c>
      <c r="K22" s="3">
        <v>38178.842190000003</v>
      </c>
      <c r="L22" s="3">
        <v>38177.655910000001</v>
      </c>
      <c r="M22" s="3">
        <v>38177.655910000001</v>
      </c>
      <c r="N22" s="3">
        <v>38177.655910000001</v>
      </c>
      <c r="O22" s="3">
        <v>38177.655910000001</v>
      </c>
      <c r="P22" s="3">
        <v>38177.655910000001</v>
      </c>
      <c r="Q22" s="3">
        <v>38177.655910000001</v>
      </c>
      <c r="R22" s="3">
        <v>38177.655910000001</v>
      </c>
      <c r="S22" s="3">
        <v>38175.401989999998</v>
      </c>
      <c r="T22" s="3">
        <v>38175.401989999998</v>
      </c>
      <c r="U22" s="3">
        <v>38185.722589999998</v>
      </c>
    </row>
    <row r="23" spans="1:24" x14ac:dyDescent="0.25">
      <c r="A23" t="s">
        <v>25</v>
      </c>
      <c r="B23" s="3"/>
      <c r="C23" s="3">
        <v>35282.144469999999</v>
      </c>
      <c r="D23" s="3">
        <v>34872.143550000001</v>
      </c>
      <c r="E23" s="3">
        <v>35780.523009999997</v>
      </c>
      <c r="F23" s="3">
        <v>35467.417159999997</v>
      </c>
      <c r="G23" s="3">
        <v>35473.395989999997</v>
      </c>
      <c r="H23" s="3">
        <v>35477.310709999998</v>
      </c>
      <c r="I23" s="3">
        <v>35450.192419999999</v>
      </c>
      <c r="J23" s="3">
        <v>35662.915549999998</v>
      </c>
      <c r="K23" s="3">
        <v>35628.347439999998</v>
      </c>
      <c r="L23" s="3">
        <v>35557.69281</v>
      </c>
      <c r="M23" s="3">
        <v>35557.69281</v>
      </c>
      <c r="N23" s="3">
        <v>35563.695370000001</v>
      </c>
      <c r="O23" s="3">
        <v>35563.695370000001</v>
      </c>
      <c r="P23" s="3">
        <v>35576.127549999997</v>
      </c>
      <c r="Q23" s="3">
        <v>35576.127549999997</v>
      </c>
      <c r="R23" s="3">
        <v>35570.884209999997</v>
      </c>
      <c r="S23" s="3">
        <v>35570.884209999997</v>
      </c>
      <c r="T23" s="3">
        <v>35568.914989999997</v>
      </c>
      <c r="U23" s="3">
        <v>35555.58124</v>
      </c>
    </row>
    <row r="24" spans="1:24" x14ac:dyDescent="0.25">
      <c r="A24" t="s">
        <v>26</v>
      </c>
      <c r="B24" s="3">
        <v>35454.984980000001</v>
      </c>
      <c r="C24" s="3">
        <v>36729.971369999999</v>
      </c>
      <c r="D24" s="3">
        <v>37065.545299999998</v>
      </c>
      <c r="E24" s="3">
        <v>36676.588920000002</v>
      </c>
      <c r="F24" s="3">
        <v>36631.462959999997</v>
      </c>
      <c r="G24" s="3">
        <v>36391.882530000003</v>
      </c>
      <c r="H24" s="3">
        <v>36360.659729999999</v>
      </c>
      <c r="I24" s="3">
        <v>36376.366029999997</v>
      </c>
      <c r="J24" s="3">
        <v>36386.781540000004</v>
      </c>
      <c r="K24" s="3">
        <v>36420.495519999997</v>
      </c>
      <c r="L24" s="3">
        <v>36420.495519999997</v>
      </c>
      <c r="M24" s="3">
        <v>36430.911030000003</v>
      </c>
      <c r="N24" s="3">
        <v>36445.027719999998</v>
      </c>
      <c r="O24" s="3">
        <v>36449.701650000003</v>
      </c>
      <c r="P24" s="3">
        <v>36449.867729999998</v>
      </c>
      <c r="Q24" s="3">
        <v>36436.984770000003</v>
      </c>
      <c r="R24" s="3">
        <v>36436.984770000003</v>
      </c>
      <c r="S24" s="3">
        <v>36436.984770000003</v>
      </c>
      <c r="T24" s="3">
        <v>36436.984770000003</v>
      </c>
      <c r="U24" s="3">
        <v>36436.984770000003</v>
      </c>
    </row>
    <row r="26" spans="1:24" x14ac:dyDescent="0.25">
      <c r="C26" s="36" t="s">
        <v>45</v>
      </c>
      <c r="D26" s="37"/>
      <c r="E26" s="37"/>
      <c r="F26" s="37"/>
      <c r="G26" s="37"/>
    </row>
    <row r="27" spans="1:24" ht="17.25" x14ac:dyDescent="0.4">
      <c r="B27" s="35" t="s">
        <v>32</v>
      </c>
      <c r="C27" s="38">
        <v>0</v>
      </c>
      <c r="D27" s="38">
        <v>1</v>
      </c>
      <c r="E27" s="38">
        <f>D27+1</f>
        <v>2</v>
      </c>
      <c r="F27" s="38">
        <f t="shared" ref="F27:V27" si="0">E27+1</f>
        <v>3</v>
      </c>
      <c r="G27" s="38">
        <f t="shared" si="0"/>
        <v>4</v>
      </c>
      <c r="H27" s="38">
        <f t="shared" si="0"/>
        <v>5</v>
      </c>
      <c r="I27" s="38">
        <f t="shared" si="0"/>
        <v>6</v>
      </c>
      <c r="J27" s="38">
        <f t="shared" si="0"/>
        <v>7</v>
      </c>
      <c r="K27" s="38">
        <f t="shared" si="0"/>
        <v>8</v>
      </c>
      <c r="L27" s="38">
        <f t="shared" si="0"/>
        <v>9</v>
      </c>
      <c r="M27" s="38">
        <f t="shared" si="0"/>
        <v>10</v>
      </c>
      <c r="N27" s="38">
        <f t="shared" si="0"/>
        <v>11</v>
      </c>
      <c r="O27" s="38">
        <f t="shared" si="0"/>
        <v>12</v>
      </c>
      <c r="P27" s="38">
        <f t="shared" si="0"/>
        <v>13</v>
      </c>
      <c r="Q27" s="38">
        <f t="shared" si="0"/>
        <v>14</v>
      </c>
      <c r="R27" s="38">
        <f t="shared" si="0"/>
        <v>15</v>
      </c>
      <c r="S27" s="38">
        <f t="shared" si="0"/>
        <v>16</v>
      </c>
      <c r="T27" s="38">
        <f t="shared" si="0"/>
        <v>17</v>
      </c>
      <c r="U27" s="38">
        <f t="shared" si="0"/>
        <v>18</v>
      </c>
      <c r="V27" s="38">
        <f t="shared" si="0"/>
        <v>19</v>
      </c>
      <c r="W27" s="38">
        <f t="shared" ref="W27:X27" si="1">V27+1</f>
        <v>20</v>
      </c>
      <c r="X27" s="38">
        <f t="shared" si="1"/>
        <v>21</v>
      </c>
    </row>
    <row r="28" spans="1:24" x14ac:dyDescent="0.25">
      <c r="B28" s="5" t="str">
        <f t="shared" ref="B28:B47" si="2">A5</f>
        <v>201003</v>
      </c>
      <c r="C28" s="7">
        <f ca="1">'CC examples - SME'!D31</f>
        <v>24096.955709999998</v>
      </c>
      <c r="D28" s="7">
        <f ca="1">OFFSET($U$5,(ROWS($L$27:L27)-1)+(COLUMNS($M$27:M27)-1),-(ROWS($L$27:L27)-1),1,1)</f>
        <v>24096.955709999998</v>
      </c>
      <c r="E28" s="7">
        <f ca="1">OFFSET($U$5,(ROWS($L$27:M27)-1),-(ROWS($L$27:M27)-1)+(COLUMNS($M$27:N27)-1),1,1)</f>
        <v>0</v>
      </c>
      <c r="F28" s="7">
        <f ca="1">OFFSET($U$5,(ROWS($L$27:N27)-1),-(ROWS($L$27:N27)-1)+(COLUMNS($M$27:O27)-1),1,1)</f>
        <v>0</v>
      </c>
      <c r="G28" s="7">
        <f ca="1">OFFSET($U$5,(ROWS($L$27:O27)-1),-(ROWS($L$27:O27)-1)+(COLUMNS($M$27:P27)-1),1,1)</f>
        <v>0</v>
      </c>
      <c r="H28" s="7">
        <f ca="1">OFFSET($U$5,(ROWS($L$27:P27)-1),-(ROWS($L$27:P27)-1)+(COLUMNS($M$27:Q27)-1),1,1)</f>
        <v>0</v>
      </c>
      <c r="I28" s="7">
        <f ca="1">OFFSET($U$5,(ROWS($L$27:Q27)-1),-(ROWS($L$27:Q27)-1)+(COLUMNS($M$27:R27)-1),1,1)</f>
        <v>0</v>
      </c>
      <c r="J28" s="7">
        <f ca="1">OFFSET($U$5,(ROWS($L$27:R27)-1),-(ROWS($L$27:R27)-1)+(COLUMNS($M$27:S27)-1),1,1)</f>
        <v>0</v>
      </c>
      <c r="K28" s="7">
        <f ca="1">OFFSET($U$5,(ROWS($L$27:S27)-1),-(ROWS($L$27:S27)-1)+(COLUMNS($M$27:T27)-1),1,1)</f>
        <v>0</v>
      </c>
      <c r="L28" s="7">
        <f ca="1">OFFSET($U$5,(ROWS($L$27:T27)-1),-(ROWS($L$27:T27)-1)+(COLUMNS($M$27:U27)-1),1,1)</f>
        <v>0</v>
      </c>
      <c r="M28" s="7">
        <f ca="1">OFFSET($U$5,(ROWS($L$27:U27)-1),-(ROWS($L$27:U27)-1)+(COLUMNS($M$27:V27)-1),1,1)</f>
        <v>0</v>
      </c>
      <c r="N28" s="7">
        <f ca="1">OFFSET($U$5,(ROWS($L$27:V27)-1),-(ROWS($L$27:V27)-1)+(COLUMNS($M$27:V27)-1),1,1)</f>
        <v>0</v>
      </c>
      <c r="O28" s="7">
        <f ca="1">OFFSET($U$5,(ROWS($L$27:V27)-1),-(ROWS($L$27:V27)-1)+(COLUMNS($M$27:W27)-1),1,1)</f>
        <v>0</v>
      </c>
      <c r="P28" s="7">
        <f ca="1">OFFSET($U$5,(ROWS($L$27:W27)-1),-(ROWS($L$27:W27)-1)+(COLUMNS($M$27:X27)-1),1,1)</f>
        <v>0</v>
      </c>
      <c r="Q28" s="7">
        <f ca="1">OFFSET($U$5,(ROWS($L$27:X27)-1),-(ROWS($L$27:X27)-1)+(COLUMNS($M$27:Y27)-1),1,1)</f>
        <v>0</v>
      </c>
      <c r="R28" s="7">
        <f ca="1">OFFSET($U$5,(ROWS($L$27:Y27)-1),-(ROWS($L$27:Y27)-1)+(COLUMNS($M$27:Z27)-1),1,1)</f>
        <v>0</v>
      </c>
      <c r="S28" s="7">
        <f ca="1">OFFSET($U$5,(ROWS($L$27:Z27)-1),-(ROWS($L$27:Z27)-1)+(COLUMNS($M$27:AA27)-1),1,1)</f>
        <v>0</v>
      </c>
      <c r="T28" s="7">
        <f ca="1">OFFSET($U$5,(ROWS($L$27:AA27)-1),-(ROWS($L$27:AA27)-1)+(COLUMNS($M$27:AB27)-1),1,1)</f>
        <v>0</v>
      </c>
      <c r="U28" s="7">
        <f ca="1">OFFSET($U$5,(ROWS($L$27:AB27)-1),-(ROWS($L$27:AB27)-1)+(COLUMNS($M$27:AC27)-1),1,1)</f>
        <v>0</v>
      </c>
      <c r="V28" s="7">
        <f ca="1">OFFSET($U$5,(ROWS($L$27:AC27)-1),-(ROWS($L$27:AC27)-1)+(COLUMNS($M$27:AD27)-1),1,1)</f>
        <v>0</v>
      </c>
      <c r="W28" s="7">
        <f ca="1">OFFSET($U$5,(ROWS($L$27:AD27)-1),-(ROWS($L$27:AD27)-1)+(COLUMNS($M$27:AE27)-1),1,1)</f>
        <v>0</v>
      </c>
      <c r="X28" s="7">
        <f ca="1">OFFSET($U$5,(ROWS($L$27:AE27)-1),-(ROWS($L$27:AE27)-1)+(COLUMNS($M$27:AF27)-1),1,1)</f>
        <v>0</v>
      </c>
    </row>
    <row r="29" spans="1:24" x14ac:dyDescent="0.25">
      <c r="B29" s="5" t="str">
        <f t="shared" si="2"/>
        <v>201006</v>
      </c>
      <c r="C29" s="7">
        <f ca="1">'CC examples - SME'!D32</f>
        <v>22592.40107</v>
      </c>
      <c r="D29" s="7">
        <f ca="1">OFFSET($U$5,(ROWS($L$27:L28)-1)+(COLUMNS($M$27:M28)-1),-(ROWS($L$27:L28)-1),1,1)</f>
        <v>22592.40107</v>
      </c>
      <c r="E29" s="7">
        <f ca="1">OFFSET($U$5,(ROWS($L$27:M28)-1),-(ROWS($L$27:M28)-1)+(COLUMNS($M$27:N28)-1),1,1)</f>
        <v>22589.886159999998</v>
      </c>
      <c r="F29" s="7">
        <f ca="1">OFFSET($U$5,(ROWS($L$27:N28)-1),-(ROWS($L$27:N28)-1)+(COLUMNS($M$27:O28)-1),1,1)</f>
        <v>0</v>
      </c>
      <c r="G29" s="7">
        <f ca="1">OFFSET($U$5,(ROWS($L$27:O28)-1),-(ROWS($L$27:O28)-1)+(COLUMNS($M$27:P28)-1),1,1)</f>
        <v>0</v>
      </c>
      <c r="H29" s="7">
        <f ca="1">OFFSET($U$5,(ROWS($L$27:P28)-1),-(ROWS($L$27:P28)-1)+(COLUMNS($M$27:Q28)-1),1,1)</f>
        <v>0</v>
      </c>
      <c r="I29" s="7">
        <f ca="1">OFFSET($U$5,(ROWS($L$27:Q28)-1),-(ROWS($L$27:Q28)-1)+(COLUMNS($M$27:R28)-1),1,1)</f>
        <v>0</v>
      </c>
      <c r="J29" s="7">
        <f ca="1">OFFSET($U$5,(ROWS($L$27:R28)-1),-(ROWS($L$27:R28)-1)+(COLUMNS($M$27:S28)-1),1,1)</f>
        <v>0</v>
      </c>
      <c r="K29" s="7">
        <f ca="1">OFFSET($U$5,(ROWS($L$27:S28)-1),-(ROWS($L$27:S28)-1)+(COLUMNS($M$27:T28)-1),1,1)</f>
        <v>0</v>
      </c>
      <c r="L29" s="7">
        <f ca="1">OFFSET($U$5,(ROWS($L$27:T28)-1),-(ROWS($L$27:T28)-1)+(COLUMNS($M$27:U28)-1),1,1)</f>
        <v>0</v>
      </c>
      <c r="M29" s="7">
        <f ca="1">OFFSET($U$5,(ROWS($L$27:U28)-1),-(ROWS($L$27:U28)-1)+(COLUMNS($M$27:V28)-1),1,1)</f>
        <v>0</v>
      </c>
      <c r="N29" s="7">
        <f ca="1">OFFSET($U$5,(ROWS($L$27:V28)-1),-(ROWS($L$27:V28)-1)+(COLUMNS($M$27:V28)-1),1,1)</f>
        <v>0</v>
      </c>
      <c r="O29" s="7">
        <f ca="1">OFFSET($U$5,(ROWS($L$27:V28)-1),-(ROWS($L$27:V28)-1)+(COLUMNS($M$27:W28)-1),1,1)</f>
        <v>0</v>
      </c>
      <c r="P29" s="7">
        <f ca="1">OFFSET($U$5,(ROWS($L$27:W28)-1),-(ROWS($L$27:W28)-1)+(COLUMNS($M$27:X28)-1),1,1)</f>
        <v>0</v>
      </c>
      <c r="Q29" s="7">
        <f ca="1">OFFSET($U$5,(ROWS($L$27:X28)-1),-(ROWS($L$27:X28)-1)+(COLUMNS($M$27:Y28)-1),1,1)</f>
        <v>0</v>
      </c>
      <c r="R29" s="7">
        <f ca="1">OFFSET($U$5,(ROWS($L$27:Y28)-1),-(ROWS($L$27:Y28)-1)+(COLUMNS($M$27:Z28)-1),1,1)</f>
        <v>0</v>
      </c>
      <c r="S29" s="7">
        <f ca="1">OFFSET($U$5,(ROWS($L$27:Z28)-1),-(ROWS($L$27:Z28)-1)+(COLUMNS($M$27:AA28)-1),1,1)</f>
        <v>0</v>
      </c>
      <c r="T29" s="7">
        <f ca="1">OFFSET($U$5,(ROWS($L$27:AA28)-1),-(ROWS($L$27:AA28)-1)+(COLUMNS($M$27:AB28)-1),1,1)</f>
        <v>0</v>
      </c>
      <c r="U29" s="7">
        <f ca="1">OFFSET($U$5,(ROWS($L$27:AB28)-1),-(ROWS($L$27:AB28)-1)+(COLUMNS($M$27:AC28)-1),1,1)</f>
        <v>0</v>
      </c>
      <c r="V29" s="7">
        <f ca="1">OFFSET($U$5,(ROWS($L$27:AC28)-1),-(ROWS($L$27:AC28)-1)+(COLUMNS($M$27:AD28)-1),1,1)</f>
        <v>0</v>
      </c>
      <c r="W29" s="7">
        <f ca="1">OFFSET($U$5,(ROWS($L$27:AD28)-1),-(ROWS($L$27:AD28)-1)+(COLUMNS($M$27:AE28)-1),1,1)</f>
        <v>0</v>
      </c>
      <c r="X29" s="7">
        <f ca="1">OFFSET($U$5,(ROWS($L$27:AE28)-1),-(ROWS($L$27:AE28)-1)+(COLUMNS($M$27:AF28)-1),1,1)</f>
        <v>0</v>
      </c>
    </row>
    <row r="30" spans="1:24" x14ac:dyDescent="0.25">
      <c r="B30" s="5" t="str">
        <f t="shared" si="2"/>
        <v>201009</v>
      </c>
      <c r="C30" s="7">
        <f ca="1">'CC examples - SME'!D33</f>
        <v>17754.29048</v>
      </c>
      <c r="D30" s="7">
        <f ca="1">OFFSET($U$5,(ROWS($L$27:L29)-1)+(COLUMNS($M$27:M29)-1),-(ROWS($L$27:L29)-1),1,1)</f>
        <v>17754.29048</v>
      </c>
      <c r="E30" s="7">
        <f ca="1">OFFSET($U$5,(ROWS($L$27:M29)-1),-(ROWS($L$27:M29)-1)+(COLUMNS($M$27:N29)-1),1,1)</f>
        <v>17754.29048</v>
      </c>
      <c r="F30" s="7">
        <f ca="1">OFFSET($U$5,(ROWS($L$27:N29)-1),-(ROWS($L$27:N29)-1)+(COLUMNS($M$27:O29)-1),1,1)</f>
        <v>17754.29048</v>
      </c>
      <c r="G30" s="7">
        <f ca="1">OFFSET($U$5,(ROWS($L$27:O29)-1),-(ROWS($L$27:O29)-1)+(COLUMNS($M$27:P29)-1),1,1)</f>
        <v>0</v>
      </c>
      <c r="H30" s="7">
        <f ca="1">OFFSET($U$5,(ROWS($L$27:P29)-1),-(ROWS($L$27:P29)-1)+(COLUMNS($M$27:Q29)-1),1,1)</f>
        <v>0</v>
      </c>
      <c r="I30" s="7">
        <f ca="1">OFFSET($U$5,(ROWS($L$27:Q29)-1),-(ROWS($L$27:Q29)-1)+(COLUMNS($M$27:R29)-1),1,1)</f>
        <v>0</v>
      </c>
      <c r="J30" s="7">
        <f ca="1">OFFSET($U$5,(ROWS($L$27:R29)-1),-(ROWS($L$27:R29)-1)+(COLUMNS($M$27:S29)-1),1,1)</f>
        <v>0</v>
      </c>
      <c r="K30" s="7">
        <f ca="1">OFFSET($U$5,(ROWS($L$27:S29)-1),-(ROWS($L$27:S29)-1)+(COLUMNS($M$27:T29)-1),1,1)</f>
        <v>0</v>
      </c>
      <c r="L30" s="7">
        <f ca="1">OFFSET($U$5,(ROWS($L$27:T29)-1),-(ROWS($L$27:T29)-1)+(COLUMNS($M$27:U29)-1),1,1)</f>
        <v>0</v>
      </c>
      <c r="M30" s="7">
        <f ca="1">OFFSET($U$5,(ROWS($L$27:U29)-1),-(ROWS($L$27:U29)-1)+(COLUMNS($M$27:V29)-1),1,1)</f>
        <v>0</v>
      </c>
      <c r="N30" s="7">
        <f ca="1">OFFSET($U$5,(ROWS($L$27:V29)-1),-(ROWS($L$27:V29)-1)+(COLUMNS($M$27:V29)-1),1,1)</f>
        <v>0</v>
      </c>
      <c r="O30" s="7">
        <f ca="1">OFFSET($U$5,(ROWS($L$27:V29)-1),-(ROWS($L$27:V29)-1)+(COLUMNS($M$27:W29)-1),1,1)</f>
        <v>0</v>
      </c>
      <c r="P30" s="7">
        <f ca="1">OFFSET($U$5,(ROWS($L$27:W29)-1),-(ROWS($L$27:W29)-1)+(COLUMNS($M$27:X29)-1),1,1)</f>
        <v>0</v>
      </c>
      <c r="Q30" s="7">
        <f ca="1">OFFSET($U$5,(ROWS($L$27:X29)-1),-(ROWS($L$27:X29)-1)+(COLUMNS($M$27:Y29)-1),1,1)</f>
        <v>0</v>
      </c>
      <c r="R30" s="7">
        <f ca="1">OFFSET($U$5,(ROWS($L$27:Y29)-1),-(ROWS($L$27:Y29)-1)+(COLUMNS($M$27:Z29)-1),1,1)</f>
        <v>0</v>
      </c>
      <c r="S30" s="7">
        <f ca="1">OFFSET($U$5,(ROWS($L$27:Z29)-1),-(ROWS($L$27:Z29)-1)+(COLUMNS($M$27:AA29)-1),1,1)</f>
        <v>0</v>
      </c>
      <c r="T30" s="7">
        <f ca="1">OFFSET($U$5,(ROWS($L$27:AA29)-1),-(ROWS($L$27:AA29)-1)+(COLUMNS($M$27:AB29)-1),1,1)</f>
        <v>0</v>
      </c>
      <c r="U30" s="7">
        <f ca="1">OFFSET($U$5,(ROWS($L$27:AB29)-1),-(ROWS($L$27:AB29)-1)+(COLUMNS($M$27:AC29)-1),1,1)</f>
        <v>0</v>
      </c>
      <c r="V30" s="7">
        <f ca="1">OFFSET($U$5,(ROWS($L$27:AC29)-1),-(ROWS($L$27:AC29)-1)+(COLUMNS($M$27:AD29)-1),1,1)</f>
        <v>0</v>
      </c>
      <c r="W30" s="7">
        <f ca="1">OFFSET($U$5,(ROWS($L$27:AD29)-1),-(ROWS($L$27:AD29)-1)+(COLUMNS($M$27:AE29)-1),1,1)</f>
        <v>0</v>
      </c>
      <c r="X30" s="7">
        <f ca="1">OFFSET($U$5,(ROWS($L$27:AE29)-1),-(ROWS($L$27:AE29)-1)+(COLUMNS($M$27:AF29)-1),1,1)</f>
        <v>0</v>
      </c>
    </row>
    <row r="31" spans="1:24" x14ac:dyDescent="0.25">
      <c r="B31" s="5" t="str">
        <f t="shared" si="2"/>
        <v>201012</v>
      </c>
      <c r="C31" s="7">
        <f ca="1">'CC examples - SME'!D34</f>
        <v>23829.94857</v>
      </c>
      <c r="D31" s="7">
        <f ca="1">OFFSET($U$5,(ROWS($L$27:L30)-1)+(COLUMNS($M$27:M30)-1),-(ROWS($L$27:L30)-1),1,1)</f>
        <v>23829.94857</v>
      </c>
      <c r="E31" s="7">
        <f ca="1">OFFSET($U$5,(ROWS($L$27:M30)-1),-(ROWS($L$27:M30)-1)+(COLUMNS($M$27:N30)-1),1,1)</f>
        <v>23829.94857</v>
      </c>
      <c r="F31" s="7">
        <f ca="1">OFFSET($U$5,(ROWS($L$27:N30)-1),-(ROWS($L$27:N30)-1)+(COLUMNS($M$27:O30)-1),1,1)</f>
        <v>23828.50131</v>
      </c>
      <c r="G31" s="7">
        <f ca="1">OFFSET($U$5,(ROWS($L$27:O30)-1),-(ROWS($L$27:O30)-1)+(COLUMNS($M$27:P30)-1),1,1)</f>
        <v>23774.359639999999</v>
      </c>
      <c r="H31" s="7">
        <f ca="1">OFFSET($U$5,(ROWS($L$27:P30)-1),-(ROWS($L$27:P30)-1)+(COLUMNS($M$27:Q30)-1),1,1)</f>
        <v>0</v>
      </c>
      <c r="I31" s="7">
        <f ca="1">OFFSET($U$5,(ROWS($L$27:Q30)-1),-(ROWS($L$27:Q30)-1)+(COLUMNS($M$27:R30)-1),1,1)</f>
        <v>0</v>
      </c>
      <c r="J31" s="7">
        <f ca="1">OFFSET($U$5,(ROWS($L$27:R30)-1),-(ROWS($L$27:R30)-1)+(COLUMNS($M$27:S30)-1),1,1)</f>
        <v>0</v>
      </c>
      <c r="K31" s="7">
        <f ca="1">OFFSET($U$5,(ROWS($L$27:S30)-1),-(ROWS($L$27:S30)-1)+(COLUMNS($M$27:T30)-1),1,1)</f>
        <v>0</v>
      </c>
      <c r="L31" s="7">
        <f ca="1">OFFSET($U$5,(ROWS($L$27:T30)-1),-(ROWS($L$27:T30)-1)+(COLUMNS($M$27:U30)-1),1,1)</f>
        <v>0</v>
      </c>
      <c r="M31" s="7">
        <f ca="1">OFFSET($U$5,(ROWS($L$27:U30)-1),-(ROWS($L$27:U30)-1)+(COLUMNS($M$27:V30)-1),1,1)</f>
        <v>0</v>
      </c>
      <c r="N31" s="7">
        <f ca="1">OFFSET($U$5,(ROWS($L$27:V30)-1),-(ROWS($L$27:V30)-1)+(COLUMNS($M$27:V30)-1),1,1)</f>
        <v>0</v>
      </c>
      <c r="O31" s="7">
        <f ca="1">OFFSET($U$5,(ROWS($L$27:V30)-1),-(ROWS($L$27:V30)-1)+(COLUMNS($M$27:W30)-1),1,1)</f>
        <v>0</v>
      </c>
      <c r="P31" s="7">
        <f ca="1">OFFSET($U$5,(ROWS($L$27:W30)-1),-(ROWS($L$27:W30)-1)+(COLUMNS($M$27:X30)-1),1,1)</f>
        <v>0</v>
      </c>
      <c r="Q31" s="7">
        <f ca="1">OFFSET($U$5,(ROWS($L$27:X30)-1),-(ROWS($L$27:X30)-1)+(COLUMNS($M$27:Y30)-1),1,1)</f>
        <v>0</v>
      </c>
      <c r="R31" s="7">
        <f ca="1">OFFSET($U$5,(ROWS($L$27:Y30)-1),-(ROWS($L$27:Y30)-1)+(COLUMNS($M$27:Z30)-1),1,1)</f>
        <v>0</v>
      </c>
      <c r="S31" s="7">
        <f ca="1">OFFSET($U$5,(ROWS($L$27:Z30)-1),-(ROWS($L$27:Z30)-1)+(COLUMNS($M$27:AA30)-1),1,1)</f>
        <v>0</v>
      </c>
      <c r="T31" s="7">
        <f ca="1">OFFSET($U$5,(ROWS($L$27:AA30)-1),-(ROWS($L$27:AA30)-1)+(COLUMNS($M$27:AB30)-1),1,1)</f>
        <v>0</v>
      </c>
      <c r="U31" s="7">
        <f ca="1">OFFSET($U$5,(ROWS($L$27:AB30)-1),-(ROWS($L$27:AB30)-1)+(COLUMNS($M$27:AC30)-1),1,1)</f>
        <v>0</v>
      </c>
      <c r="V31" s="7">
        <f ca="1">OFFSET($U$5,(ROWS($L$27:AC30)-1),-(ROWS($L$27:AC30)-1)+(COLUMNS($M$27:AD30)-1),1,1)</f>
        <v>0</v>
      </c>
      <c r="W31" s="7">
        <f ca="1">OFFSET($U$5,(ROWS($L$27:AD30)-1),-(ROWS($L$27:AD30)-1)+(COLUMNS($M$27:AE30)-1),1,1)</f>
        <v>0</v>
      </c>
      <c r="X31" s="7">
        <f ca="1">OFFSET($U$5,(ROWS($L$27:AE30)-1),-(ROWS($L$27:AE30)-1)+(COLUMNS($M$27:AF30)-1),1,1)</f>
        <v>0</v>
      </c>
    </row>
    <row r="32" spans="1:24" x14ac:dyDescent="0.25">
      <c r="B32" s="5" t="str">
        <f t="shared" si="2"/>
        <v>201103</v>
      </c>
      <c r="C32" s="7">
        <f ca="1">'CC examples - SME'!D35</f>
        <v>26000.573810000002</v>
      </c>
      <c r="D32" s="7">
        <f ca="1">OFFSET($U$5,(ROWS($L$27:L31)-1)+(COLUMNS($M$27:M31)-1),-(ROWS($L$27:L31)-1),1,1)</f>
        <v>26000.573810000002</v>
      </c>
      <c r="E32" s="7">
        <f ca="1">OFFSET($U$5,(ROWS($L$27:M31)-1),-(ROWS($L$27:M31)-1)+(COLUMNS($M$27:N31)-1),1,1)</f>
        <v>26000.573810000002</v>
      </c>
      <c r="F32" s="7">
        <f ca="1">OFFSET($U$5,(ROWS($L$27:N31)-1),-(ROWS($L$27:N31)-1)+(COLUMNS($M$27:O31)-1),1,1)</f>
        <v>26000.573810000002</v>
      </c>
      <c r="G32" s="7">
        <f ca="1">OFFSET($U$5,(ROWS($L$27:O31)-1),-(ROWS($L$27:O31)-1)+(COLUMNS($M$27:P31)-1),1,1)</f>
        <v>26000.573810000002</v>
      </c>
      <c r="H32" s="7">
        <f ca="1">OFFSET($U$5,(ROWS($L$27:P31)-1),-(ROWS($L$27:P31)-1)+(COLUMNS($M$27:Q31)-1),1,1)</f>
        <v>26000.573810000002</v>
      </c>
      <c r="I32" s="7">
        <f ca="1">OFFSET($U$5,(ROWS($L$27:Q31)-1),-(ROWS($L$27:Q31)-1)+(COLUMNS($M$27:R31)-1),1,1)</f>
        <v>0</v>
      </c>
      <c r="J32" s="7">
        <f ca="1">OFFSET($U$5,(ROWS($L$27:R31)-1),-(ROWS($L$27:R31)-1)+(COLUMNS($M$27:S31)-1),1,1)</f>
        <v>0</v>
      </c>
      <c r="K32" s="7">
        <f ca="1">OFFSET($U$5,(ROWS($L$27:S31)-1),-(ROWS($L$27:S31)-1)+(COLUMNS($M$27:T31)-1),1,1)</f>
        <v>0</v>
      </c>
      <c r="L32" s="7">
        <f ca="1">OFFSET($U$5,(ROWS($L$27:T31)-1),-(ROWS($L$27:T31)-1)+(COLUMNS($M$27:U31)-1),1,1)</f>
        <v>0</v>
      </c>
      <c r="M32" s="7">
        <f ca="1">OFFSET($U$5,(ROWS($L$27:U31)-1),-(ROWS($L$27:U31)-1)+(COLUMNS($M$27:V31)-1),1,1)</f>
        <v>0</v>
      </c>
      <c r="N32" s="7">
        <f ca="1">OFFSET($U$5,(ROWS($L$27:V31)-1),-(ROWS($L$27:V31)-1)+(COLUMNS($M$27:V31)-1),1,1)</f>
        <v>0</v>
      </c>
      <c r="O32" s="7">
        <f ca="1">OFFSET($U$5,(ROWS($L$27:V31)-1),-(ROWS($L$27:V31)-1)+(COLUMNS($M$27:W31)-1),1,1)</f>
        <v>0</v>
      </c>
      <c r="P32" s="7">
        <f ca="1">OFFSET($U$5,(ROWS($L$27:W31)-1),-(ROWS($L$27:W31)-1)+(COLUMNS($M$27:X31)-1),1,1)</f>
        <v>0</v>
      </c>
      <c r="Q32" s="7">
        <f ca="1">OFFSET($U$5,(ROWS($L$27:X31)-1),-(ROWS($L$27:X31)-1)+(COLUMNS($M$27:Y31)-1),1,1)</f>
        <v>0</v>
      </c>
      <c r="R32" s="7">
        <f ca="1">OFFSET($U$5,(ROWS($L$27:Y31)-1),-(ROWS($L$27:Y31)-1)+(COLUMNS($M$27:Z31)-1),1,1)</f>
        <v>0</v>
      </c>
      <c r="S32" s="7">
        <f ca="1">OFFSET($U$5,(ROWS($L$27:Z31)-1),-(ROWS($L$27:Z31)-1)+(COLUMNS($M$27:AA31)-1),1,1)</f>
        <v>0</v>
      </c>
      <c r="T32" s="7">
        <f ca="1">OFFSET($U$5,(ROWS($L$27:AA31)-1),-(ROWS($L$27:AA31)-1)+(COLUMNS($M$27:AB31)-1),1,1)</f>
        <v>0</v>
      </c>
      <c r="U32" s="7">
        <f ca="1">OFFSET($U$5,(ROWS($L$27:AB31)-1),-(ROWS($L$27:AB31)-1)+(COLUMNS($M$27:AC31)-1),1,1)</f>
        <v>0</v>
      </c>
      <c r="V32" s="7">
        <f ca="1">OFFSET($U$5,(ROWS($L$27:AC31)-1),-(ROWS($L$27:AC31)-1)+(COLUMNS($M$27:AD31)-1),1,1)</f>
        <v>0</v>
      </c>
      <c r="W32" s="7">
        <f ca="1">OFFSET($U$5,(ROWS($L$27:AD31)-1),-(ROWS($L$27:AD31)-1)+(COLUMNS($M$27:AE31)-1),1,1)</f>
        <v>0</v>
      </c>
      <c r="X32" s="7">
        <f ca="1">OFFSET($U$5,(ROWS($L$27:AE31)-1),-(ROWS($L$27:AE31)-1)+(COLUMNS($M$27:AF31)-1),1,1)</f>
        <v>0</v>
      </c>
    </row>
    <row r="33" spans="2:24" x14ac:dyDescent="0.25">
      <c r="B33" s="5" t="str">
        <f t="shared" si="2"/>
        <v>201106</v>
      </c>
      <c r="C33" s="7">
        <f ca="1">'CC examples - SME'!D36</f>
        <v>22062.420119999999</v>
      </c>
      <c r="D33" s="7">
        <f ca="1">OFFSET($U$5,(ROWS($L$27:L32)-1)+(COLUMNS($M$27:M32)-1),-(ROWS($L$27:L32)-1),1,1)</f>
        <v>22062.420119999999</v>
      </c>
      <c r="E33" s="7">
        <f ca="1">OFFSET($U$5,(ROWS($L$27:M32)-1),-(ROWS($L$27:M32)-1)+(COLUMNS($M$27:N32)-1),1,1)</f>
        <v>22062.420119999999</v>
      </c>
      <c r="F33" s="7">
        <f ca="1">OFFSET($U$5,(ROWS($L$27:N32)-1),-(ROWS($L$27:N32)-1)+(COLUMNS($M$27:O32)-1),1,1)</f>
        <v>22062.420119999999</v>
      </c>
      <c r="G33" s="7">
        <f ca="1">OFFSET($U$5,(ROWS($L$27:O32)-1),-(ROWS($L$27:O32)-1)+(COLUMNS($M$27:P32)-1),1,1)</f>
        <v>22062.420119999999</v>
      </c>
      <c r="H33" s="7">
        <f ca="1">OFFSET($U$5,(ROWS($L$27:P32)-1),-(ROWS($L$27:P32)-1)+(COLUMNS($M$27:Q32)-1),1,1)</f>
        <v>22062.420119999999</v>
      </c>
      <c r="I33" s="7">
        <f ca="1">OFFSET($U$5,(ROWS($L$27:Q32)-1),-(ROWS($L$27:Q32)-1)+(COLUMNS($M$27:R32)-1),1,1)</f>
        <v>22062.420119999999</v>
      </c>
      <c r="J33" s="7">
        <f ca="1">OFFSET($U$5,(ROWS($L$27:R32)-1),-(ROWS($L$27:R32)-1)+(COLUMNS($M$27:S32)-1),1,1)</f>
        <v>0</v>
      </c>
      <c r="K33" s="7">
        <f ca="1">OFFSET($U$5,(ROWS($L$27:S32)-1),-(ROWS($L$27:S32)-1)+(COLUMNS($M$27:T32)-1),1,1)</f>
        <v>0</v>
      </c>
      <c r="L33" s="7">
        <f ca="1">OFFSET($U$5,(ROWS($L$27:T32)-1),-(ROWS($L$27:T32)-1)+(COLUMNS($M$27:U32)-1),1,1)</f>
        <v>0</v>
      </c>
      <c r="M33" s="7">
        <f ca="1">OFFSET($U$5,(ROWS($L$27:U32)-1),-(ROWS($L$27:U32)-1)+(COLUMNS($M$27:V32)-1),1,1)</f>
        <v>0</v>
      </c>
      <c r="N33" s="7">
        <f ca="1">OFFSET($U$5,(ROWS($L$27:V32)-1),-(ROWS($L$27:V32)-1)+(COLUMNS($M$27:V32)-1),1,1)</f>
        <v>0</v>
      </c>
      <c r="O33" s="7">
        <f ca="1">OFFSET($U$5,(ROWS($L$27:V32)-1),-(ROWS($L$27:V32)-1)+(COLUMNS($M$27:W32)-1),1,1)</f>
        <v>0</v>
      </c>
      <c r="P33" s="7">
        <f ca="1">OFFSET($U$5,(ROWS($L$27:W32)-1),-(ROWS($L$27:W32)-1)+(COLUMNS($M$27:X32)-1),1,1)</f>
        <v>0</v>
      </c>
      <c r="Q33" s="7">
        <f ca="1">OFFSET($U$5,(ROWS($L$27:X32)-1),-(ROWS($L$27:X32)-1)+(COLUMNS($M$27:Y32)-1),1,1)</f>
        <v>0</v>
      </c>
      <c r="R33" s="7">
        <f ca="1">OFFSET($U$5,(ROWS($L$27:Y32)-1),-(ROWS($L$27:Y32)-1)+(COLUMNS($M$27:Z32)-1),1,1)</f>
        <v>0</v>
      </c>
      <c r="S33" s="7">
        <f ca="1">OFFSET($U$5,(ROWS($L$27:Z32)-1),-(ROWS($L$27:Z32)-1)+(COLUMNS($M$27:AA32)-1),1,1)</f>
        <v>0</v>
      </c>
      <c r="T33" s="7">
        <f ca="1">OFFSET($U$5,(ROWS($L$27:AA32)-1),-(ROWS($L$27:AA32)-1)+(COLUMNS($M$27:AB32)-1),1,1)</f>
        <v>0</v>
      </c>
      <c r="U33" s="7">
        <f ca="1">OFFSET($U$5,(ROWS($L$27:AB32)-1),-(ROWS($L$27:AB32)-1)+(COLUMNS($M$27:AC32)-1),1,1)</f>
        <v>0</v>
      </c>
      <c r="V33" s="7">
        <f ca="1">OFFSET($U$5,(ROWS($L$27:AC32)-1),-(ROWS($L$27:AC32)-1)+(COLUMNS($M$27:AD32)-1),1,1)</f>
        <v>0</v>
      </c>
      <c r="W33" s="7">
        <f ca="1">OFFSET($U$5,(ROWS($L$27:AD32)-1),-(ROWS($L$27:AD32)-1)+(COLUMNS($M$27:AE32)-1),1,1)</f>
        <v>0</v>
      </c>
      <c r="X33" s="7">
        <f ca="1">OFFSET($U$5,(ROWS($L$27:AE32)-1),-(ROWS($L$27:AE32)-1)+(COLUMNS($M$27:AF32)-1),1,1)</f>
        <v>0</v>
      </c>
    </row>
    <row r="34" spans="2:24" x14ac:dyDescent="0.25">
      <c r="B34" s="5" t="str">
        <f t="shared" si="2"/>
        <v>201109</v>
      </c>
      <c r="C34" s="7">
        <f ca="1">'CC examples - SME'!D37</f>
        <v>25940.097430000002</v>
      </c>
      <c r="D34" s="7">
        <f ca="1">OFFSET($U$5,(ROWS($L$27:L33)-1)+(COLUMNS($M$27:M33)-1),-(ROWS($L$27:L33)-1),1,1)</f>
        <v>25940.097430000002</v>
      </c>
      <c r="E34" s="7">
        <f ca="1">OFFSET($U$5,(ROWS($L$27:M33)-1),-(ROWS($L$27:M33)-1)+(COLUMNS($M$27:N33)-1),1,1)</f>
        <v>25940.097430000002</v>
      </c>
      <c r="F34" s="7">
        <f ca="1">OFFSET($U$5,(ROWS($L$27:N33)-1),-(ROWS($L$27:N33)-1)+(COLUMNS($M$27:O33)-1),1,1)</f>
        <v>25940.097430000002</v>
      </c>
      <c r="G34" s="7">
        <f ca="1">OFFSET($U$5,(ROWS($L$27:O33)-1),-(ROWS($L$27:O33)-1)+(COLUMNS($M$27:P33)-1),1,1)</f>
        <v>25940.097430000002</v>
      </c>
      <c r="H34" s="7">
        <f ca="1">OFFSET($U$5,(ROWS($L$27:P33)-1),-(ROWS($L$27:P33)-1)+(COLUMNS($M$27:Q33)-1),1,1)</f>
        <v>25927.688969999999</v>
      </c>
      <c r="I34" s="7">
        <f ca="1">OFFSET($U$5,(ROWS($L$27:Q33)-1),-(ROWS($L$27:Q33)-1)+(COLUMNS($M$27:R33)-1),1,1)</f>
        <v>25921.44916</v>
      </c>
      <c r="J34" s="7">
        <f ca="1">OFFSET($U$5,(ROWS($L$27:R33)-1),-(ROWS($L$27:R33)-1)+(COLUMNS($M$27:S33)-1),1,1)</f>
        <v>25931.959569999999</v>
      </c>
      <c r="K34" s="7">
        <f ca="1">OFFSET($U$5,(ROWS($L$27:S33)-1),-(ROWS($L$27:S33)-1)+(COLUMNS($M$27:T33)-1),1,1)</f>
        <v>0</v>
      </c>
      <c r="L34" s="7">
        <f ca="1">OFFSET($U$5,(ROWS($L$27:T33)-1),-(ROWS($L$27:T33)-1)+(COLUMNS($M$27:U33)-1),1,1)</f>
        <v>0</v>
      </c>
      <c r="M34" s="7">
        <f ca="1">OFFSET($U$5,(ROWS($L$27:U33)-1),-(ROWS($L$27:U33)-1)+(COLUMNS($M$27:V33)-1),1,1)</f>
        <v>0</v>
      </c>
      <c r="N34" s="7">
        <f ca="1">OFFSET($U$5,(ROWS($L$27:V33)-1),-(ROWS($L$27:V33)-1)+(COLUMNS($M$27:V33)-1),1,1)</f>
        <v>0</v>
      </c>
      <c r="O34" s="7">
        <f ca="1">OFFSET($U$5,(ROWS($L$27:V33)-1),-(ROWS($L$27:V33)-1)+(COLUMNS($M$27:W33)-1),1,1)</f>
        <v>0</v>
      </c>
      <c r="P34" s="7">
        <f ca="1">OFFSET($U$5,(ROWS($L$27:W33)-1),-(ROWS($L$27:W33)-1)+(COLUMNS($M$27:X33)-1),1,1)</f>
        <v>0</v>
      </c>
      <c r="Q34" s="7">
        <f ca="1">OFFSET($U$5,(ROWS($L$27:X33)-1),-(ROWS($L$27:X33)-1)+(COLUMNS($M$27:Y33)-1),1,1)</f>
        <v>0</v>
      </c>
      <c r="R34" s="7">
        <f ca="1">OFFSET($U$5,(ROWS($L$27:Y33)-1),-(ROWS($L$27:Y33)-1)+(COLUMNS($M$27:Z33)-1),1,1)</f>
        <v>0</v>
      </c>
      <c r="S34" s="7">
        <f ca="1">OFFSET($U$5,(ROWS($L$27:Z33)-1),-(ROWS($L$27:Z33)-1)+(COLUMNS($M$27:AA33)-1),1,1)</f>
        <v>0</v>
      </c>
      <c r="T34" s="7">
        <f ca="1">OFFSET($U$5,(ROWS($L$27:AA33)-1),-(ROWS($L$27:AA33)-1)+(COLUMNS($M$27:AB33)-1),1,1)</f>
        <v>0</v>
      </c>
      <c r="U34" s="7">
        <f ca="1">OFFSET($U$5,(ROWS($L$27:AB33)-1),-(ROWS($L$27:AB33)-1)+(COLUMNS($M$27:AC33)-1),1,1)</f>
        <v>0</v>
      </c>
      <c r="V34" s="7">
        <f ca="1">OFFSET($U$5,(ROWS($L$27:AC33)-1),-(ROWS($L$27:AC33)-1)+(COLUMNS($M$27:AD33)-1),1,1)</f>
        <v>0</v>
      </c>
      <c r="W34" s="7">
        <f ca="1">OFFSET($U$5,(ROWS($L$27:AD33)-1),-(ROWS($L$27:AD33)-1)+(COLUMNS($M$27:AE33)-1),1,1)</f>
        <v>0</v>
      </c>
      <c r="X34" s="7">
        <f ca="1">OFFSET($U$5,(ROWS($L$27:AE33)-1),-(ROWS($L$27:AE33)-1)+(COLUMNS($M$27:AF33)-1),1,1)</f>
        <v>0</v>
      </c>
    </row>
    <row r="35" spans="2:24" x14ac:dyDescent="0.25">
      <c r="B35" s="5" t="str">
        <f t="shared" si="2"/>
        <v>201112</v>
      </c>
      <c r="C35" s="7">
        <f ca="1">'CC examples - SME'!D38</f>
        <v>32474.15653</v>
      </c>
      <c r="D35" s="7">
        <f ca="1">OFFSET($U$5,(ROWS($L$27:L34)-1)+(COLUMNS($M$27:M34)-1),-(ROWS($L$27:L34)-1),1,1)</f>
        <v>32463.954549999999</v>
      </c>
      <c r="E35" s="7">
        <f ca="1">OFFSET($U$5,(ROWS($L$27:M34)-1),-(ROWS($L$27:M34)-1)+(COLUMNS($M$27:N34)-1),1,1)</f>
        <v>32463.954549999999</v>
      </c>
      <c r="F35" s="7">
        <f ca="1">OFFSET($U$5,(ROWS($L$27:N34)-1),-(ROWS($L$27:N34)-1)+(COLUMNS($M$27:O34)-1),1,1)</f>
        <v>32463.954549999999</v>
      </c>
      <c r="G35" s="7">
        <f ca="1">OFFSET($U$5,(ROWS($L$27:O34)-1),-(ROWS($L$27:O34)-1)+(COLUMNS($M$27:P34)-1),1,1)</f>
        <v>32463.954549999999</v>
      </c>
      <c r="H35" s="7">
        <f ca="1">OFFSET($U$5,(ROWS($L$27:P34)-1),-(ROWS($L$27:P34)-1)+(COLUMNS($M$27:Q34)-1),1,1)</f>
        <v>32463.954549999999</v>
      </c>
      <c r="I35" s="7">
        <f ca="1">OFFSET($U$5,(ROWS($L$27:Q34)-1),-(ROWS($L$27:Q34)-1)+(COLUMNS($M$27:R34)-1),1,1)</f>
        <v>32463.954549999999</v>
      </c>
      <c r="J35" s="7">
        <f ca="1">OFFSET($U$5,(ROWS($L$27:R34)-1),-(ROWS($L$27:R34)-1)+(COLUMNS($M$27:S34)-1),1,1)</f>
        <v>32463.954549999999</v>
      </c>
      <c r="K35" s="7">
        <f ca="1">OFFSET($U$5,(ROWS($L$27:S34)-1),-(ROWS($L$27:S34)-1)+(COLUMNS($M$27:T34)-1),1,1)</f>
        <v>32463.954549999999</v>
      </c>
      <c r="L35" s="7">
        <f ca="1">OFFSET($U$5,(ROWS($L$27:T34)-1),-(ROWS($L$27:T34)-1)+(COLUMNS($M$27:U34)-1),1,1)</f>
        <v>0</v>
      </c>
      <c r="M35" s="7">
        <f ca="1">OFFSET($U$5,(ROWS($L$27:U34)-1),-(ROWS($L$27:U34)-1)+(COLUMNS($M$27:V34)-1),1,1)</f>
        <v>0</v>
      </c>
      <c r="N35" s="7">
        <f ca="1">OFFSET($U$5,(ROWS($L$27:V34)-1),-(ROWS($L$27:V34)-1)+(COLUMNS($M$27:V34)-1),1,1)</f>
        <v>0</v>
      </c>
      <c r="O35" s="7">
        <f ca="1">OFFSET($U$5,(ROWS($L$27:V34)-1),-(ROWS($L$27:V34)-1)+(COLUMNS($M$27:W34)-1),1,1)</f>
        <v>0</v>
      </c>
      <c r="P35" s="7">
        <f ca="1">OFFSET($U$5,(ROWS($L$27:W34)-1),-(ROWS($L$27:W34)-1)+(COLUMNS($M$27:X34)-1),1,1)</f>
        <v>0</v>
      </c>
      <c r="Q35" s="7">
        <f ca="1">OFFSET($U$5,(ROWS($L$27:X34)-1),-(ROWS($L$27:X34)-1)+(COLUMNS($M$27:Y34)-1),1,1)</f>
        <v>0</v>
      </c>
      <c r="R35" s="7">
        <f ca="1">OFFSET($U$5,(ROWS($L$27:Y34)-1),-(ROWS($L$27:Y34)-1)+(COLUMNS($M$27:Z34)-1),1,1)</f>
        <v>0</v>
      </c>
      <c r="S35" s="7">
        <f ca="1">OFFSET($U$5,(ROWS($L$27:Z34)-1),-(ROWS($L$27:Z34)-1)+(COLUMNS($M$27:AA34)-1),1,1)</f>
        <v>0</v>
      </c>
      <c r="T35" s="7">
        <f ca="1">OFFSET($U$5,(ROWS($L$27:AA34)-1),-(ROWS($L$27:AA34)-1)+(COLUMNS($M$27:AB34)-1),1,1)</f>
        <v>0</v>
      </c>
      <c r="U35" s="7">
        <f ca="1">OFFSET($U$5,(ROWS($L$27:AB34)-1),-(ROWS($L$27:AB34)-1)+(COLUMNS($M$27:AC34)-1),1,1)</f>
        <v>0</v>
      </c>
      <c r="V35" s="7">
        <f ca="1">OFFSET($U$5,(ROWS($L$27:AC34)-1),-(ROWS($L$27:AC34)-1)+(COLUMNS($M$27:AD34)-1),1,1)</f>
        <v>0</v>
      </c>
      <c r="W35" s="7">
        <f ca="1">OFFSET($U$5,(ROWS($L$27:AD34)-1),-(ROWS($L$27:AD34)-1)+(COLUMNS($M$27:AE34)-1),1,1)</f>
        <v>0</v>
      </c>
      <c r="X35" s="7">
        <f ca="1">OFFSET($U$5,(ROWS($L$27:AE34)-1),-(ROWS($L$27:AE34)-1)+(COLUMNS($M$27:AF34)-1),1,1)</f>
        <v>0</v>
      </c>
    </row>
    <row r="36" spans="2:24" x14ac:dyDescent="0.25">
      <c r="B36" s="5" t="str">
        <f t="shared" si="2"/>
        <v>201203</v>
      </c>
      <c r="C36" s="7">
        <f ca="1">'CC examples - SME'!D39</f>
        <v>29755.305410000001</v>
      </c>
      <c r="D36" s="7">
        <f ca="1">OFFSET($U$5,(ROWS($L$27:L35)-1)+(COLUMNS($M$27:M35)-1),-(ROWS($L$27:L35)-1),1,1)</f>
        <v>29765.697189999999</v>
      </c>
      <c r="E36" s="7">
        <f ca="1">OFFSET($U$5,(ROWS($L$27:M35)-1),-(ROWS($L$27:M35)-1)+(COLUMNS($M$27:N35)-1),1,1)</f>
        <v>29764.653259999999</v>
      </c>
      <c r="F36" s="7">
        <f ca="1">OFFSET($U$5,(ROWS($L$27:N35)-1),-(ROWS($L$27:N35)-1)+(COLUMNS($M$27:O35)-1),1,1)</f>
        <v>29763.63307</v>
      </c>
      <c r="G36" s="7">
        <f ca="1">OFFSET($U$5,(ROWS($L$27:O35)-1),-(ROWS($L$27:O35)-1)+(COLUMNS($M$27:P35)-1),1,1)</f>
        <v>29763.63307</v>
      </c>
      <c r="H36" s="7">
        <f ca="1">OFFSET($U$5,(ROWS($L$27:P35)-1),-(ROWS($L$27:P35)-1)+(COLUMNS($M$27:Q35)-1),1,1)</f>
        <v>29763.63307</v>
      </c>
      <c r="I36" s="7">
        <f ca="1">OFFSET($U$5,(ROWS($L$27:Q35)-1),-(ROWS($L$27:Q35)-1)+(COLUMNS($M$27:R35)-1),1,1)</f>
        <v>29763.63307</v>
      </c>
      <c r="J36" s="7">
        <f ca="1">OFFSET($U$5,(ROWS($L$27:R35)-1),-(ROWS($L$27:R35)-1)+(COLUMNS($M$27:S35)-1),1,1)</f>
        <v>29759.908159999999</v>
      </c>
      <c r="K36" s="7">
        <f ca="1">OFFSET($U$5,(ROWS($L$27:S35)-1),-(ROWS($L$27:S35)-1)+(COLUMNS($M$27:T35)-1),1,1)</f>
        <v>29759.908159999999</v>
      </c>
      <c r="L36" s="7">
        <f ca="1">OFFSET($U$5,(ROWS($L$27:T35)-1),-(ROWS($L$27:T35)-1)+(COLUMNS($M$27:U35)-1),1,1)</f>
        <v>29759.908159999999</v>
      </c>
      <c r="M36" s="7">
        <f ca="1">OFFSET($U$5,(ROWS($L$27:U35)-1),-(ROWS($L$27:U35)-1)+(COLUMNS($M$27:V35)-1),1,1)</f>
        <v>0</v>
      </c>
      <c r="N36" s="7">
        <f ca="1">OFFSET($U$5,(ROWS($L$27:V35)-1),-(ROWS($L$27:V35)-1)+(COLUMNS($M$27:V35)-1),1,1)</f>
        <v>0</v>
      </c>
      <c r="O36" s="7">
        <f ca="1">OFFSET($U$5,(ROWS($L$27:V35)-1),-(ROWS($L$27:V35)-1)+(COLUMNS($M$27:W35)-1),1,1)</f>
        <v>0</v>
      </c>
      <c r="P36" s="7">
        <f ca="1">OFFSET($U$5,(ROWS($L$27:W35)-1),-(ROWS($L$27:W35)-1)+(COLUMNS($M$27:X35)-1),1,1)</f>
        <v>0</v>
      </c>
      <c r="Q36" s="7">
        <f ca="1">OFFSET($U$5,(ROWS($L$27:X35)-1),-(ROWS($L$27:X35)-1)+(COLUMNS($M$27:Y35)-1),1,1)</f>
        <v>0</v>
      </c>
      <c r="R36" s="7">
        <f ca="1">OFFSET($U$5,(ROWS($L$27:Y35)-1),-(ROWS($L$27:Y35)-1)+(COLUMNS($M$27:Z35)-1),1,1)</f>
        <v>0</v>
      </c>
      <c r="S36" s="7">
        <f ca="1">OFFSET($U$5,(ROWS($L$27:Z35)-1),-(ROWS($L$27:Z35)-1)+(COLUMNS($M$27:AA35)-1),1,1)</f>
        <v>0</v>
      </c>
      <c r="T36" s="7">
        <f ca="1">OFFSET($U$5,(ROWS($L$27:AA35)-1),-(ROWS($L$27:AA35)-1)+(COLUMNS($M$27:AB35)-1),1,1)</f>
        <v>0</v>
      </c>
      <c r="U36" s="7">
        <f ca="1">OFFSET($U$5,(ROWS($L$27:AB35)-1),-(ROWS($L$27:AB35)-1)+(COLUMNS($M$27:AC35)-1),1,1)</f>
        <v>0</v>
      </c>
      <c r="V36" s="7">
        <f ca="1">OFFSET($U$5,(ROWS($L$27:AC35)-1),-(ROWS($L$27:AC35)-1)+(COLUMNS($M$27:AD35)-1),1,1)</f>
        <v>0</v>
      </c>
      <c r="W36" s="7">
        <f ca="1">OFFSET($U$5,(ROWS($L$27:AD35)-1),-(ROWS($L$27:AD35)-1)+(COLUMNS($M$27:AE35)-1),1,1)</f>
        <v>0</v>
      </c>
      <c r="X36" s="7">
        <f ca="1">OFFSET($U$5,(ROWS($L$27:AE35)-1),-(ROWS($L$27:AE35)-1)+(COLUMNS($M$27:AF35)-1),1,1)</f>
        <v>0</v>
      </c>
    </row>
    <row r="37" spans="2:24" x14ac:dyDescent="0.25">
      <c r="B37" s="5" t="str">
        <f t="shared" si="2"/>
        <v>201206</v>
      </c>
      <c r="C37" s="7">
        <f ca="1">'CC examples - SME'!D40</f>
        <v>27183.789840000001</v>
      </c>
      <c r="D37" s="7">
        <f ca="1">OFFSET($U$5,(ROWS($L$27:L36)-1)+(COLUMNS($M$27:M36)-1),-(ROWS($L$27:L36)-1),1,1)</f>
        <v>27184.003369999999</v>
      </c>
      <c r="E37" s="7">
        <f ca="1">OFFSET($U$5,(ROWS($L$27:M36)-1),-(ROWS($L$27:M36)-1)+(COLUMNS($M$27:N36)-1),1,1)</f>
        <v>27184.003369999999</v>
      </c>
      <c r="F37" s="7">
        <f ca="1">OFFSET($U$5,(ROWS($L$27:N36)-1),-(ROWS($L$27:N36)-1)+(COLUMNS($M$27:O36)-1),1,1)</f>
        <v>27184.003369999999</v>
      </c>
      <c r="G37" s="7">
        <f ca="1">OFFSET($U$5,(ROWS($L$27:O36)-1),-(ROWS($L$27:O36)-1)+(COLUMNS($M$27:P36)-1),1,1)</f>
        <v>27043.738020000001</v>
      </c>
      <c r="H37" s="7">
        <f ca="1">OFFSET($U$5,(ROWS($L$27:P36)-1),-(ROWS($L$27:P36)-1)+(COLUMNS($M$27:Q36)-1),1,1)</f>
        <v>27043.738020000001</v>
      </c>
      <c r="I37" s="7">
        <f ca="1">OFFSET($U$5,(ROWS($L$27:Q36)-1),-(ROWS($L$27:Q36)-1)+(COLUMNS($M$27:R36)-1),1,1)</f>
        <v>27043.738020000001</v>
      </c>
      <c r="J37" s="7">
        <f ca="1">OFFSET($U$5,(ROWS($L$27:R36)-1),-(ROWS($L$27:R36)-1)+(COLUMNS($M$27:S36)-1),1,1)</f>
        <v>27043.738020000001</v>
      </c>
      <c r="K37" s="7">
        <f ca="1">OFFSET($U$5,(ROWS($L$27:S36)-1),-(ROWS($L$27:S36)-1)+(COLUMNS($M$27:T36)-1),1,1)</f>
        <v>27043.738020000001</v>
      </c>
      <c r="L37" s="7">
        <f ca="1">OFFSET($U$5,(ROWS($L$27:T36)-1),-(ROWS($L$27:T36)-1)+(COLUMNS($M$27:U36)-1),1,1)</f>
        <v>27043.738020000001</v>
      </c>
      <c r="M37" s="7">
        <f ca="1">OFFSET($U$5,(ROWS($L$27:U36)-1),-(ROWS($L$27:U36)-1)+(COLUMNS($M$27:V36)-1),1,1)</f>
        <v>27043.738020000001</v>
      </c>
      <c r="N37" s="7">
        <f ca="1">OFFSET($U$5,(ROWS($L$27:V36)-1),-(ROWS($L$27:V36)-1)+(COLUMNS($M$27:V36)-1),1,1)</f>
        <v>27043.738020000001</v>
      </c>
      <c r="O37" s="7">
        <f ca="1">OFFSET($U$5,(ROWS($L$27:V36)-1),-(ROWS($L$27:V36)-1)+(COLUMNS($M$27:W36)-1),1,1)</f>
        <v>0</v>
      </c>
      <c r="P37" s="7">
        <f ca="1">OFFSET($U$5,(ROWS($L$27:W36)-1),-(ROWS($L$27:W36)-1)+(COLUMNS($M$27:X36)-1),1,1)</f>
        <v>0</v>
      </c>
      <c r="Q37" s="7">
        <f ca="1">OFFSET($U$5,(ROWS($L$27:X36)-1),-(ROWS($L$27:X36)-1)+(COLUMNS($M$27:Y36)-1),1,1)</f>
        <v>0</v>
      </c>
      <c r="R37" s="7">
        <f ca="1">OFFSET($U$5,(ROWS($L$27:Y36)-1),-(ROWS($L$27:Y36)-1)+(COLUMNS($M$27:Z36)-1),1,1)</f>
        <v>0</v>
      </c>
      <c r="S37" s="7">
        <f ca="1">OFFSET($U$5,(ROWS($L$27:Z36)-1),-(ROWS($L$27:Z36)-1)+(COLUMNS($M$27:AA36)-1),1,1)</f>
        <v>0</v>
      </c>
      <c r="T37" s="7">
        <f ca="1">OFFSET($U$5,(ROWS($L$27:AA36)-1),-(ROWS($L$27:AA36)-1)+(COLUMNS($M$27:AB36)-1),1,1)</f>
        <v>0</v>
      </c>
      <c r="U37" s="7">
        <f ca="1">OFFSET($U$5,(ROWS($L$27:AB36)-1),-(ROWS($L$27:AB36)-1)+(COLUMNS($M$27:AC36)-1),1,1)</f>
        <v>0</v>
      </c>
      <c r="V37" s="7">
        <f ca="1">OFFSET($U$5,(ROWS($L$27:AC36)-1),-(ROWS($L$27:AC36)-1)+(COLUMNS($M$27:AD36)-1),1,1)</f>
        <v>0</v>
      </c>
      <c r="W37" s="7">
        <f ca="1">OFFSET($U$5,(ROWS($L$27:AD36)-1),-(ROWS($L$27:AD36)-1)+(COLUMNS($M$27:AE36)-1),1,1)</f>
        <v>0</v>
      </c>
      <c r="X37" s="7">
        <f ca="1">OFFSET($U$5,(ROWS($L$27:AE36)-1),-(ROWS($L$27:AE36)-1)+(COLUMNS($M$27:AF36)-1),1,1)</f>
        <v>0</v>
      </c>
    </row>
    <row r="38" spans="2:24" x14ac:dyDescent="0.25">
      <c r="B38" s="5" t="str">
        <f t="shared" si="2"/>
        <v>201209</v>
      </c>
      <c r="C38" s="7">
        <f ca="1">'CC examples - SME'!D41</f>
        <v>32282.074619999999</v>
      </c>
      <c r="D38" s="7">
        <f ca="1">OFFSET($U$5,(ROWS($L$27:L37)-1)+(COLUMNS($M$27:M37)-1),-(ROWS($L$27:L37)-1),1,1)</f>
        <v>32479.803199999998</v>
      </c>
      <c r="E38" s="7">
        <f ca="1">OFFSET($U$5,(ROWS($L$27:M37)-1),-(ROWS($L$27:M37)-1)+(COLUMNS($M$27:N37)-1),1,1)</f>
        <v>32317.235860000001</v>
      </c>
      <c r="F38" s="7">
        <f ca="1">OFFSET($U$5,(ROWS($L$27:N37)-1),-(ROWS($L$27:N37)-1)+(COLUMNS($M$27:O37)-1),1,1)</f>
        <v>32441.723720000002</v>
      </c>
      <c r="G38" s="7">
        <f ca="1">OFFSET($U$5,(ROWS($L$27:O37)-1),-(ROWS($L$27:O37)-1)+(COLUMNS($M$27:P37)-1),1,1)</f>
        <v>32413.253089999998</v>
      </c>
      <c r="H38" s="7">
        <f ca="1">OFFSET($U$5,(ROWS($L$27:P37)-1),-(ROWS($L$27:P37)-1)+(COLUMNS($M$27:Q37)-1),1,1)</f>
        <v>32454.132180000001</v>
      </c>
      <c r="I38" s="7">
        <f ca="1">OFFSET($U$5,(ROWS($L$27:Q37)-1),-(ROWS($L$27:Q37)-1)+(COLUMNS($M$27:R37)-1),1,1)</f>
        <v>32454.132180000001</v>
      </c>
      <c r="J38" s="7">
        <f ca="1">OFFSET($U$5,(ROWS($L$27:R37)-1),-(ROWS($L$27:R37)-1)+(COLUMNS($M$27:S37)-1),1,1)</f>
        <v>32560.849620000001</v>
      </c>
      <c r="K38" s="7">
        <f ca="1">OFFSET($U$5,(ROWS($L$27:S37)-1),-(ROWS($L$27:S37)-1)+(COLUMNS($M$27:T37)-1),1,1)</f>
        <v>32564.503349999999</v>
      </c>
      <c r="L38" s="7">
        <f ca="1">OFFSET($U$5,(ROWS($L$27:T37)-1),-(ROWS($L$27:T37)-1)+(COLUMNS($M$27:U37)-1),1,1)</f>
        <v>32564.503349999999</v>
      </c>
      <c r="M38" s="7">
        <f ca="1">OFFSET($U$5,(ROWS($L$27:U37)-1),-(ROWS($L$27:U37)-1)+(COLUMNS($M$27:V37)-1),1,1)</f>
        <v>32560.564920000001</v>
      </c>
      <c r="N38" s="7">
        <f ca="1">OFFSET($U$5,(ROWS($L$27:V37)-1),-(ROWS($L$27:V37)-1)+(COLUMNS($M$27:V37)-1),1,1)</f>
        <v>32560.564920000001</v>
      </c>
      <c r="O38" s="7">
        <f ca="1">OFFSET($U$5,(ROWS($L$27:V37)-1),-(ROWS($L$27:V37)-1)+(COLUMNS($M$27:W37)-1),1,1)</f>
        <v>32560.564920000001</v>
      </c>
      <c r="P38" s="7">
        <f ca="1">OFFSET($U$5,(ROWS($L$27:W37)-1),-(ROWS($L$27:W37)-1)+(COLUMNS($M$27:X37)-1),1,1)</f>
        <v>0</v>
      </c>
      <c r="Q38" s="7">
        <f ca="1">OFFSET($U$5,(ROWS($L$27:X37)-1),-(ROWS($L$27:X37)-1)+(COLUMNS($M$27:Y37)-1),1,1)</f>
        <v>0</v>
      </c>
      <c r="R38" s="7">
        <f ca="1">OFFSET($U$5,(ROWS($L$27:Y37)-1),-(ROWS($L$27:Y37)-1)+(COLUMNS($M$27:Z37)-1),1,1)</f>
        <v>0</v>
      </c>
      <c r="S38" s="7">
        <f ca="1">OFFSET($U$5,(ROWS($L$27:Z37)-1),-(ROWS($L$27:Z37)-1)+(COLUMNS($M$27:AA37)-1),1,1)</f>
        <v>0</v>
      </c>
      <c r="T38" s="7">
        <f ca="1">OFFSET($U$5,(ROWS($L$27:AA37)-1),-(ROWS($L$27:AA37)-1)+(COLUMNS($M$27:AB37)-1),1,1)</f>
        <v>0</v>
      </c>
      <c r="U38" s="7">
        <f ca="1">OFFSET($U$5,(ROWS($L$27:AB37)-1),-(ROWS($L$27:AB37)-1)+(COLUMNS($M$27:AC37)-1),1,1)</f>
        <v>0</v>
      </c>
      <c r="V38" s="7">
        <f ca="1">OFFSET($U$5,(ROWS($L$27:AC37)-1),-(ROWS($L$27:AC37)-1)+(COLUMNS($M$27:AD37)-1),1,1)</f>
        <v>0</v>
      </c>
      <c r="W38" s="7">
        <f ca="1">OFFSET($U$5,(ROWS($L$27:AD37)-1),-(ROWS($L$27:AD37)-1)+(COLUMNS($M$27:AE37)-1),1,1)</f>
        <v>0</v>
      </c>
      <c r="X38" s="7">
        <f ca="1">OFFSET($U$5,(ROWS($L$27:AE37)-1),-(ROWS($L$27:AE37)-1)+(COLUMNS($M$27:AF37)-1),1,1)</f>
        <v>0</v>
      </c>
    </row>
    <row r="39" spans="2:24" x14ac:dyDescent="0.25">
      <c r="B39" s="5" t="str">
        <f t="shared" si="2"/>
        <v>201212</v>
      </c>
      <c r="C39" s="7">
        <f ca="1">'CC examples - SME'!D42</f>
        <v>41403.853819999997</v>
      </c>
      <c r="D39" s="7">
        <f ca="1">OFFSET($U$5,(ROWS($L$27:L38)-1)+(COLUMNS($M$27:M38)-1),-(ROWS($L$27:L38)-1),1,1)</f>
        <v>41486.039069999999</v>
      </c>
      <c r="E39" s="7">
        <f ca="1">OFFSET($U$5,(ROWS($L$27:M38)-1),-(ROWS($L$27:M38)-1)+(COLUMNS($M$27:N38)-1),1,1)</f>
        <v>41475.599829999999</v>
      </c>
      <c r="F39" s="7">
        <f ca="1">OFFSET($U$5,(ROWS($L$27:N38)-1),-(ROWS($L$27:N38)-1)+(COLUMNS($M$27:O38)-1),1,1)</f>
        <v>41551.308010000001</v>
      </c>
      <c r="G39" s="7">
        <f ca="1">OFFSET($U$5,(ROWS($L$27:O38)-1),-(ROWS($L$27:O38)-1)+(COLUMNS($M$27:P38)-1),1,1)</f>
        <v>41551.308010000001</v>
      </c>
      <c r="H39" s="7">
        <f ca="1">OFFSET($U$5,(ROWS($L$27:P38)-1),-(ROWS($L$27:P38)-1)+(COLUMNS($M$27:Q38)-1),1,1)</f>
        <v>41551.308010000001</v>
      </c>
      <c r="I39" s="7">
        <f ca="1">OFFSET($U$5,(ROWS($L$27:Q38)-1),-(ROWS($L$27:Q38)-1)+(COLUMNS($M$27:R38)-1),1,1)</f>
        <v>41551.308010000001</v>
      </c>
      <c r="J39" s="7">
        <f ca="1">OFFSET($U$5,(ROWS($L$27:R38)-1),-(ROWS($L$27:R38)-1)+(COLUMNS($M$27:S38)-1),1,1)</f>
        <v>41583.408649999998</v>
      </c>
      <c r="K39" s="7">
        <f ca="1">OFFSET($U$5,(ROWS($L$27:S38)-1),-(ROWS($L$27:S38)-1)+(COLUMNS($M$27:T38)-1),1,1)</f>
        <v>41583.408649999998</v>
      </c>
      <c r="L39" s="7">
        <f ca="1">OFFSET($U$5,(ROWS($L$27:T38)-1),-(ROWS($L$27:T38)-1)+(COLUMNS($M$27:U38)-1),1,1)</f>
        <v>41583.408649999998</v>
      </c>
      <c r="M39" s="7">
        <f ca="1">OFFSET($U$5,(ROWS($L$27:U38)-1),-(ROWS($L$27:U38)-1)+(COLUMNS($M$27:V38)-1),1,1)</f>
        <v>41255.996299999999</v>
      </c>
      <c r="N39" s="7">
        <f ca="1">OFFSET($U$5,(ROWS($L$27:V38)-1),-(ROWS($L$27:V38)-1)+(COLUMNS($M$27:V38)-1),1,1)</f>
        <v>41255.996299999999</v>
      </c>
      <c r="O39" s="7">
        <f ca="1">OFFSET($U$5,(ROWS($L$27:V38)-1),-(ROWS($L$27:V38)-1)+(COLUMNS($M$27:W38)-1),1,1)</f>
        <v>41214.381719999998</v>
      </c>
      <c r="P39" s="7">
        <f ca="1">OFFSET($U$5,(ROWS($L$27:W38)-1),-(ROWS($L$27:W38)-1)+(COLUMNS($M$27:X38)-1),1,1)</f>
        <v>41214.381719999998</v>
      </c>
      <c r="Q39" s="7">
        <f ca="1">OFFSET($U$5,(ROWS($L$27:X38)-1),-(ROWS($L$27:X38)-1)+(COLUMNS($M$27:Y38)-1),1,1)</f>
        <v>0</v>
      </c>
      <c r="R39" s="7">
        <f ca="1">OFFSET($U$5,(ROWS($L$27:Y38)-1),-(ROWS($L$27:Y38)-1)+(COLUMNS($M$27:Z38)-1),1,1)</f>
        <v>0</v>
      </c>
      <c r="S39" s="7">
        <f ca="1">OFFSET($U$5,(ROWS($L$27:Z38)-1),-(ROWS($L$27:Z38)-1)+(COLUMNS($M$27:AA38)-1),1,1)</f>
        <v>0</v>
      </c>
      <c r="T39" s="7">
        <f ca="1">OFFSET($U$5,(ROWS($L$27:AA38)-1),-(ROWS($L$27:AA38)-1)+(COLUMNS($M$27:AB38)-1),1,1)</f>
        <v>0</v>
      </c>
      <c r="U39" s="7">
        <f ca="1">OFFSET($U$5,(ROWS($L$27:AB38)-1),-(ROWS($L$27:AB38)-1)+(COLUMNS($M$27:AC38)-1),1,1)</f>
        <v>0</v>
      </c>
      <c r="V39" s="7">
        <f ca="1">OFFSET($U$5,(ROWS($L$27:AC38)-1),-(ROWS($L$27:AC38)-1)+(COLUMNS($M$27:AD38)-1),1,1)</f>
        <v>0</v>
      </c>
      <c r="W39" s="7">
        <f ca="1">OFFSET($U$5,(ROWS($L$27:AD38)-1),-(ROWS($L$27:AD38)-1)+(COLUMNS($M$27:AE38)-1),1,1)</f>
        <v>0</v>
      </c>
      <c r="X39" s="7">
        <f ca="1">OFFSET($U$5,(ROWS($L$27:AE38)-1),-(ROWS($L$27:AE38)-1)+(COLUMNS($M$27:AF38)-1),1,1)</f>
        <v>0</v>
      </c>
    </row>
    <row r="40" spans="2:24" x14ac:dyDescent="0.25">
      <c r="B40" s="5" t="str">
        <f t="shared" si="2"/>
        <v>201303</v>
      </c>
      <c r="C40" s="7">
        <f ca="1">'CC examples - SME'!D43</f>
        <v>38506.088459999999</v>
      </c>
      <c r="D40" s="7">
        <f ca="1">OFFSET($U$5,(ROWS($L$27:L39)-1)+(COLUMNS($M$27:M39)-1),-(ROWS($L$27:L39)-1),1,1)</f>
        <v>38508.081400000003</v>
      </c>
      <c r="E40" s="7">
        <f ca="1">OFFSET($U$5,(ROWS($L$27:M39)-1),-(ROWS($L$27:M39)-1)+(COLUMNS($M$27:N39)-1),1,1)</f>
        <v>38516.290439999997</v>
      </c>
      <c r="F40" s="7">
        <f ca="1">OFFSET($U$5,(ROWS($L$27:N39)-1),-(ROWS($L$27:N39)-1)+(COLUMNS($M$27:O39)-1),1,1)</f>
        <v>38526.658490000002</v>
      </c>
      <c r="G40" s="7">
        <f ca="1">OFFSET($U$5,(ROWS($L$27:O39)-1),-(ROWS($L$27:O39)-1)+(COLUMNS($M$27:P39)-1),1,1)</f>
        <v>38510.714939999998</v>
      </c>
      <c r="H40" s="7">
        <f ca="1">OFFSET($U$5,(ROWS($L$27:P39)-1),-(ROWS($L$27:P39)-1)+(COLUMNS($M$27:Q39)-1),1,1)</f>
        <v>38510.714939999998</v>
      </c>
      <c r="I40" s="7">
        <f ca="1">OFFSET($U$5,(ROWS($L$27:Q39)-1),-(ROWS($L$27:Q39)-1)+(COLUMNS($M$27:R39)-1),1,1)</f>
        <v>38510.714939999998</v>
      </c>
      <c r="J40" s="7">
        <f ca="1">OFFSET($U$5,(ROWS($L$27:R39)-1),-(ROWS($L$27:R39)-1)+(COLUMNS($M$27:S39)-1),1,1)</f>
        <v>38776.891689999997</v>
      </c>
      <c r="K40" s="7">
        <f ca="1">OFFSET($U$5,(ROWS($L$27:S39)-1),-(ROWS($L$27:S39)-1)+(COLUMNS($M$27:T39)-1),1,1)</f>
        <v>38729.013559999999</v>
      </c>
      <c r="L40" s="7">
        <f ca="1">OFFSET($U$5,(ROWS($L$27:T39)-1),-(ROWS($L$27:T39)-1)+(COLUMNS($M$27:U39)-1),1,1)</f>
        <v>38726.641009999999</v>
      </c>
      <c r="M40" s="7">
        <f ca="1">OFFSET($U$5,(ROWS($L$27:U39)-1),-(ROWS($L$27:U39)-1)+(COLUMNS($M$27:V39)-1),1,1)</f>
        <v>38726.641009999999</v>
      </c>
      <c r="N40" s="7">
        <f ca="1">OFFSET($U$5,(ROWS($L$27:V39)-1),-(ROWS($L$27:V39)-1)+(COLUMNS($M$27:V39)-1),1,1)</f>
        <v>38726.641009999999</v>
      </c>
      <c r="O40" s="7">
        <f ca="1">OFFSET($U$5,(ROWS($L$27:V39)-1),-(ROWS($L$27:V39)-1)+(COLUMNS($M$27:W39)-1),1,1)</f>
        <v>38726.641009999999</v>
      </c>
      <c r="P40" s="7">
        <f ca="1">OFFSET($U$5,(ROWS($L$27:W39)-1),-(ROWS($L$27:W39)-1)+(COLUMNS($M$27:X39)-1),1,1)</f>
        <v>38726.641009999999</v>
      </c>
      <c r="Q40" s="7">
        <f ca="1">OFFSET($U$5,(ROWS($L$27:X39)-1),-(ROWS($L$27:X39)-1)+(COLUMNS($M$27:Y39)-1),1,1)</f>
        <v>38737.056519999998</v>
      </c>
      <c r="R40" s="7">
        <f ca="1">OFFSET($U$5,(ROWS($L$27:Y39)-1),-(ROWS($L$27:Y39)-1)+(COLUMNS($M$27:Z39)-1),1,1)</f>
        <v>0</v>
      </c>
      <c r="S40" s="7">
        <f ca="1">OFFSET($U$5,(ROWS($L$27:Z39)-1),-(ROWS($L$27:Z39)-1)+(COLUMNS($M$27:AA39)-1),1,1)</f>
        <v>0</v>
      </c>
      <c r="T40" s="7">
        <f ca="1">OFFSET($U$5,(ROWS($L$27:AA39)-1),-(ROWS($L$27:AA39)-1)+(COLUMNS($M$27:AB39)-1),1,1)</f>
        <v>0</v>
      </c>
      <c r="U40" s="7">
        <f ca="1">OFFSET($U$5,(ROWS($L$27:AB39)-1),-(ROWS($L$27:AB39)-1)+(COLUMNS($M$27:AC39)-1),1,1)</f>
        <v>0</v>
      </c>
      <c r="V40" s="7">
        <f ca="1">OFFSET($U$5,(ROWS($L$27:AC39)-1),-(ROWS($L$27:AC39)-1)+(COLUMNS($M$27:AD39)-1),1,1)</f>
        <v>0</v>
      </c>
      <c r="W40" s="7">
        <f ca="1">OFFSET($U$5,(ROWS($L$27:AD39)-1),-(ROWS($L$27:AD39)-1)+(COLUMNS($M$27:AE39)-1),1,1)</f>
        <v>0</v>
      </c>
      <c r="X40" s="7">
        <f ca="1">OFFSET($U$5,(ROWS($L$27:AE39)-1),-(ROWS($L$27:AE39)-1)+(COLUMNS($M$27:AF39)-1),1,1)</f>
        <v>0</v>
      </c>
    </row>
    <row r="41" spans="2:24" x14ac:dyDescent="0.25">
      <c r="B41" s="5" t="str">
        <f t="shared" si="2"/>
        <v>201306</v>
      </c>
      <c r="C41" s="7">
        <f ca="1">'CC examples - SME'!D44</f>
        <v>26310.429260000001</v>
      </c>
      <c r="D41" s="7">
        <f ca="1">OFFSET($U$5,(ROWS($L$27:L40)-1)+(COLUMNS($M$27:M40)-1),-(ROWS($L$27:L40)-1),1,1)</f>
        <v>26322.956340000001</v>
      </c>
      <c r="E41" s="7">
        <f ca="1">OFFSET($U$5,(ROWS($L$27:M40)-1),-(ROWS($L$27:M40)-1)+(COLUMNS($M$27:N40)-1),1,1)</f>
        <v>26318.306140000001</v>
      </c>
      <c r="F41" s="7">
        <f ca="1">OFFSET($U$5,(ROWS($L$27:N40)-1),-(ROWS($L$27:N40)-1)+(COLUMNS($M$27:O40)-1),1,1)</f>
        <v>26309.005730000001</v>
      </c>
      <c r="G41" s="7">
        <f ca="1">OFFSET($U$5,(ROWS($L$27:O40)-1),-(ROWS($L$27:O40)-1)+(COLUMNS($M$27:P40)-1),1,1)</f>
        <v>26621.186290000001</v>
      </c>
      <c r="H41" s="7">
        <f ca="1">OFFSET($U$5,(ROWS($L$27:P40)-1),-(ROWS($L$27:P40)-1)+(COLUMNS($M$27:Q40)-1),1,1)</f>
        <v>26621.186290000001</v>
      </c>
      <c r="I41" s="7">
        <f ca="1">OFFSET($U$5,(ROWS($L$27:Q40)-1),-(ROWS($L$27:Q40)-1)+(COLUMNS($M$27:R40)-1),1,1)</f>
        <v>26639.73965</v>
      </c>
      <c r="J41" s="7">
        <f ca="1">OFFSET($U$5,(ROWS($L$27:R40)-1),-(ROWS($L$27:R40)-1)+(COLUMNS($M$27:S40)-1),1,1)</f>
        <v>26639.73965</v>
      </c>
      <c r="K41" s="7">
        <f ca="1">OFFSET($U$5,(ROWS($L$27:S40)-1),-(ROWS($L$27:S40)-1)+(COLUMNS($M$27:T40)-1),1,1)</f>
        <v>26624.341779999999</v>
      </c>
      <c r="L41" s="7">
        <f ca="1">OFFSET($U$5,(ROWS($L$27:T40)-1),-(ROWS($L$27:T40)-1)+(COLUMNS($M$27:U40)-1),1,1)</f>
        <v>26624.341779999999</v>
      </c>
      <c r="M41" s="7">
        <f ca="1">OFFSET($U$5,(ROWS($L$27:U40)-1),-(ROWS($L$27:U40)-1)+(COLUMNS($M$27:V40)-1),1,1)</f>
        <v>26623.630020000001</v>
      </c>
      <c r="N41" s="7">
        <f ca="1">OFFSET($U$5,(ROWS($L$27:V40)-1),-(ROWS($L$27:V40)-1)+(COLUMNS($M$27:V40)-1),1,1)</f>
        <v>26623.630020000001</v>
      </c>
      <c r="O41" s="7">
        <f ca="1">OFFSET($U$5,(ROWS($L$27:V40)-1),-(ROWS($L$27:V40)-1)+(COLUMNS($M$27:W40)-1),1,1)</f>
        <v>26623.630020000001</v>
      </c>
      <c r="P41" s="7">
        <f ca="1">OFFSET($U$5,(ROWS($L$27:W40)-1),-(ROWS($L$27:W40)-1)+(COLUMNS($M$27:X40)-1),1,1)</f>
        <v>26623.630020000001</v>
      </c>
      <c r="Q41" s="7">
        <f ca="1">OFFSET($U$5,(ROWS($L$27:X40)-1),-(ROWS($L$27:X40)-1)+(COLUMNS($M$27:Y40)-1),1,1)</f>
        <v>26623.630020000001</v>
      </c>
      <c r="R41" s="7">
        <f ca="1">OFFSET($U$5,(ROWS($L$27:Y40)-1),-(ROWS($L$27:Y40)-1)+(COLUMNS($M$27:Z40)-1),1,1)</f>
        <v>26623.630020000001</v>
      </c>
      <c r="S41" s="7">
        <f ca="1">OFFSET($U$5,(ROWS($L$27:Z40)-1),-(ROWS($L$27:Z40)-1)+(COLUMNS($M$27:AA40)-1),1,1)</f>
        <v>0</v>
      </c>
      <c r="T41" s="7">
        <f ca="1">OFFSET($U$5,(ROWS($L$27:AA40)-1),-(ROWS($L$27:AA40)-1)+(COLUMNS($M$27:AB40)-1),1,1)</f>
        <v>0</v>
      </c>
      <c r="U41" s="7">
        <f ca="1">OFFSET($U$5,(ROWS($L$27:AB40)-1),-(ROWS($L$27:AB40)-1)+(COLUMNS($M$27:AC40)-1),1,1)</f>
        <v>0</v>
      </c>
      <c r="V41" s="7">
        <f ca="1">OFFSET($U$5,(ROWS($L$27:AC40)-1),-(ROWS($L$27:AC40)-1)+(COLUMNS($M$27:AD40)-1),1,1)</f>
        <v>0</v>
      </c>
      <c r="W41" s="7">
        <f ca="1">OFFSET($U$5,(ROWS($L$27:AD40)-1),-(ROWS($L$27:AD40)-1)+(COLUMNS($M$27:AE40)-1),1,1)</f>
        <v>0</v>
      </c>
      <c r="X41" s="7">
        <f ca="1">OFFSET($U$5,(ROWS($L$27:AE40)-1),-(ROWS($L$27:AE40)-1)+(COLUMNS($M$27:AF40)-1),1,1)</f>
        <v>0</v>
      </c>
    </row>
    <row r="42" spans="2:24" x14ac:dyDescent="0.25">
      <c r="B42" s="5" t="str">
        <f t="shared" si="2"/>
        <v>201309</v>
      </c>
      <c r="C42" s="7">
        <f ca="1">'CC examples - SME'!D45</f>
        <v>27402.4918</v>
      </c>
      <c r="D42" s="7">
        <f ca="1">OFFSET($U$5,(ROWS($L$27:L41)-1)+(COLUMNS($M$27:M41)-1),-(ROWS($L$27:L41)-1),1,1)</f>
        <v>27364.72075</v>
      </c>
      <c r="E42" s="7">
        <f ca="1">OFFSET($U$5,(ROWS($L$27:M41)-1),-(ROWS($L$27:M41)-1)+(COLUMNS($M$27:N41)-1),1,1)</f>
        <v>27262.700959999998</v>
      </c>
      <c r="F42" s="7">
        <f ca="1">OFFSET($U$5,(ROWS($L$27:N41)-1),-(ROWS($L$27:N41)-1)+(COLUMNS($M$27:O41)-1),1,1)</f>
        <v>27243.910339999999</v>
      </c>
      <c r="G42" s="7">
        <f ca="1">OFFSET($U$5,(ROWS($L$27:O41)-1),-(ROWS($L$27:O41)-1)+(COLUMNS($M$27:P41)-1),1,1)</f>
        <v>27246.164260000001</v>
      </c>
      <c r="H42" s="7">
        <f ca="1">OFFSET($U$5,(ROWS($L$27:P41)-1),-(ROWS($L$27:P41)-1)+(COLUMNS($M$27:Q41)-1),1,1)</f>
        <v>27256.556049999999</v>
      </c>
      <c r="I42" s="7">
        <f ca="1">OFFSET($U$5,(ROWS($L$27:Q41)-1),-(ROWS($L$27:Q41)-1)+(COLUMNS($M$27:R41)-1),1,1)</f>
        <v>27246.14054</v>
      </c>
      <c r="J42" s="7">
        <f ca="1">OFFSET($U$5,(ROWS($L$27:R41)-1),-(ROWS($L$27:R41)-1)+(COLUMNS($M$27:S41)-1),1,1)</f>
        <v>27246.14054</v>
      </c>
      <c r="K42" s="7">
        <f ca="1">OFFSET($U$5,(ROWS($L$27:S41)-1),-(ROWS($L$27:S41)-1)+(COLUMNS($M$27:T41)-1),1,1)</f>
        <v>27258.643889999999</v>
      </c>
      <c r="L42" s="7">
        <f ca="1">OFFSET($U$5,(ROWS($L$27:T41)-1),-(ROWS($L$27:T41)-1)+(COLUMNS($M$27:U41)-1),1,1)</f>
        <v>27258.643889999999</v>
      </c>
      <c r="M42" s="7">
        <f ca="1">OFFSET($U$5,(ROWS($L$27:U41)-1),-(ROWS($L$27:U41)-1)+(COLUMNS($M$27:V41)-1),1,1)</f>
        <v>27258.643889999999</v>
      </c>
      <c r="N42" s="7">
        <f ca="1">OFFSET($U$5,(ROWS($L$27:V41)-1),-(ROWS($L$27:V41)-1)+(COLUMNS($M$27:V41)-1),1,1)</f>
        <v>27258.643889999999</v>
      </c>
      <c r="O42" s="7">
        <f ca="1">OFFSET($U$5,(ROWS($L$27:V41)-1),-(ROWS($L$27:V41)-1)+(COLUMNS($M$27:W41)-1),1,1)</f>
        <v>27258.643889999999</v>
      </c>
      <c r="P42" s="7">
        <f ca="1">OFFSET($U$5,(ROWS($L$27:W41)-1),-(ROWS($L$27:W41)-1)+(COLUMNS($M$27:X41)-1),1,1)</f>
        <v>27258.643889999999</v>
      </c>
      <c r="Q42" s="7">
        <f ca="1">OFFSET($U$5,(ROWS($L$27:X41)-1),-(ROWS($L$27:X41)-1)+(COLUMNS($M$27:Y41)-1),1,1)</f>
        <v>27258.643889999999</v>
      </c>
      <c r="R42" s="7">
        <f ca="1">OFFSET($U$5,(ROWS($L$27:Y41)-1),-(ROWS($L$27:Y41)-1)+(COLUMNS($M$27:Z41)-1),1,1)</f>
        <v>27258.66762</v>
      </c>
      <c r="S42" s="7">
        <f ca="1">OFFSET($U$5,(ROWS($L$27:Z41)-1),-(ROWS($L$27:Z41)-1)+(COLUMNS($M$27:AA41)-1),1,1)</f>
        <v>27258.643889999999</v>
      </c>
      <c r="T42" s="7">
        <f ca="1">OFFSET($U$5,(ROWS($L$27:AA41)-1),-(ROWS($L$27:AA41)-1)+(COLUMNS($M$27:AB41)-1),1,1)</f>
        <v>0</v>
      </c>
      <c r="U42" s="7">
        <f ca="1">OFFSET($U$5,(ROWS($L$27:AB41)-1),-(ROWS($L$27:AB41)-1)+(COLUMNS($M$27:AC41)-1),1,1)</f>
        <v>0</v>
      </c>
      <c r="V42" s="7">
        <f ca="1">OFFSET($U$5,(ROWS($L$27:AC41)-1),-(ROWS($L$27:AC41)-1)+(COLUMNS($M$27:AD41)-1),1,1)</f>
        <v>0</v>
      </c>
      <c r="W42" s="7">
        <f ca="1">OFFSET($U$5,(ROWS($L$27:AD41)-1),-(ROWS($L$27:AD41)-1)+(COLUMNS($M$27:AE41)-1),1,1)</f>
        <v>0</v>
      </c>
      <c r="X42" s="7">
        <f ca="1">OFFSET($U$5,(ROWS($L$27:AE41)-1),-(ROWS($L$27:AE41)-1)+(COLUMNS($M$27:AF41)-1),1,1)</f>
        <v>0</v>
      </c>
    </row>
    <row r="43" spans="2:24" x14ac:dyDescent="0.25">
      <c r="B43" s="5" t="str">
        <f t="shared" si="2"/>
        <v>201312</v>
      </c>
      <c r="C43" s="7">
        <f ca="1">'CC examples - SME'!D46</f>
        <v>45471.026949999999</v>
      </c>
      <c r="D43" s="7">
        <f ca="1">OFFSET($U$5,(ROWS($L$27:L42)-1)+(COLUMNS($M$27:M42)-1),-(ROWS($L$27:L42)-1),1,1)</f>
        <v>45806.36363</v>
      </c>
      <c r="E43" s="7">
        <f ca="1">OFFSET($U$5,(ROWS($L$27:M42)-1),-(ROWS($L$27:M42)-1)+(COLUMNS($M$27:N42)-1),1,1)</f>
        <v>44432.845099999999</v>
      </c>
      <c r="F43" s="7">
        <f ca="1">OFFSET($U$5,(ROWS($L$27:N42)-1),-(ROWS($L$27:N42)-1)+(COLUMNS($M$27:O42)-1),1,1)</f>
        <v>44633.705459999997</v>
      </c>
      <c r="G43" s="7">
        <f ca="1">OFFSET($U$5,(ROWS($L$27:O42)-1),-(ROWS($L$27:O42)-1)+(COLUMNS($M$27:P42)-1),1,1)</f>
        <v>44637.715080000002</v>
      </c>
      <c r="H43" s="7">
        <f ca="1">OFFSET($U$5,(ROWS($L$27:P42)-1),-(ROWS($L$27:P42)-1)+(COLUMNS($M$27:Q42)-1),1,1)</f>
        <v>44694.015769999998</v>
      </c>
      <c r="I43" s="7">
        <f ca="1">OFFSET($U$5,(ROWS($L$27:Q42)-1),-(ROWS($L$27:Q42)-1)+(COLUMNS($M$27:R42)-1),1,1)</f>
        <v>44694.015769999998</v>
      </c>
      <c r="J43" s="7">
        <f ca="1">OFFSET($U$5,(ROWS($L$27:R42)-1),-(ROWS($L$27:R42)-1)+(COLUMNS($M$27:S42)-1),1,1)</f>
        <v>44683.576529999998</v>
      </c>
      <c r="K43" s="7">
        <f ca="1">OFFSET($U$5,(ROWS($L$27:S42)-1),-(ROWS($L$27:S42)-1)+(COLUMNS($M$27:T42)-1),1,1)</f>
        <v>44481.434990000002</v>
      </c>
      <c r="L43" s="7">
        <f ca="1">OFFSET($U$5,(ROWS($L$27:T42)-1),-(ROWS($L$27:T42)-1)+(COLUMNS($M$27:U42)-1),1,1)</f>
        <v>44528.719980000002</v>
      </c>
      <c r="M43" s="7">
        <f ca="1">OFFSET($U$5,(ROWS($L$27:U42)-1),-(ROWS($L$27:U42)-1)+(COLUMNS($M$27:V42)-1),1,1)</f>
        <v>44567.202790000003</v>
      </c>
      <c r="N43" s="7">
        <f ca="1">OFFSET($U$5,(ROWS($L$27:V42)-1),-(ROWS($L$27:V42)-1)+(COLUMNS($M$27:V42)-1),1,1)</f>
        <v>44567.202790000003</v>
      </c>
      <c r="O43" s="7">
        <f ca="1">OFFSET($U$5,(ROWS($L$27:V42)-1),-(ROWS($L$27:V42)-1)+(COLUMNS($M$27:W42)-1),1,1)</f>
        <v>44675.652199999997</v>
      </c>
      <c r="P43" s="7">
        <f ca="1">OFFSET($U$5,(ROWS($L$27:W42)-1),-(ROWS($L$27:W42)-1)+(COLUMNS($M$27:X42)-1),1,1)</f>
        <v>44707.041080000003</v>
      </c>
      <c r="Q43" s="7">
        <f ca="1">OFFSET($U$5,(ROWS($L$27:X42)-1),-(ROWS($L$27:X42)-1)+(COLUMNS($M$27:Y42)-1),1,1)</f>
        <v>44790.293980000002</v>
      </c>
      <c r="R43" s="7">
        <f ca="1">OFFSET($U$5,(ROWS($L$27:Y42)-1),-(ROWS($L$27:Y42)-1)+(COLUMNS($M$27:Z42)-1),1,1)</f>
        <v>44837.151899999997</v>
      </c>
      <c r="S43" s="7">
        <f ca="1">OFFSET($U$5,(ROWS($L$27:Z42)-1),-(ROWS($L$27:Z42)-1)+(COLUMNS($M$27:AA42)-1),1,1)</f>
        <v>44883.060810000003</v>
      </c>
      <c r="T43" s="7">
        <f ca="1">OFFSET($U$5,(ROWS($L$27:AA42)-1),-(ROWS($L$27:AA42)-1)+(COLUMNS($M$27:AB42)-1),1,1)</f>
        <v>44814.470289999997</v>
      </c>
      <c r="U43" s="7">
        <f ca="1">OFFSET($U$5,(ROWS($L$27:AB42)-1),-(ROWS($L$27:AB42)-1)+(COLUMNS($M$27:AC42)-1),1,1)</f>
        <v>0</v>
      </c>
      <c r="V43" s="7">
        <f ca="1">OFFSET($U$5,(ROWS($L$27:AC42)-1),-(ROWS($L$27:AC42)-1)+(COLUMNS($M$27:AD42)-1),1,1)</f>
        <v>0</v>
      </c>
      <c r="W43" s="7">
        <f ca="1">OFFSET($U$5,(ROWS($L$27:AD42)-1),-(ROWS($L$27:AD42)-1)+(COLUMNS($M$27:AE42)-1),1,1)</f>
        <v>0</v>
      </c>
      <c r="X43" s="7">
        <f ca="1">OFFSET($U$5,(ROWS($L$27:AE42)-1),-(ROWS($L$27:AE42)-1)+(COLUMNS($M$27:AF42)-1),1,1)</f>
        <v>0</v>
      </c>
    </row>
    <row r="44" spans="2:24" x14ac:dyDescent="0.25">
      <c r="B44" s="5" t="str">
        <f t="shared" si="2"/>
        <v>201403</v>
      </c>
      <c r="C44" s="7">
        <f ca="1">'CC examples - SME'!D47</f>
        <v>38378.895879999996</v>
      </c>
      <c r="D44" s="7">
        <f ca="1">OFFSET($U$5,(ROWS($L$27:L43)-1)+(COLUMNS($M$27:M43)-1),-(ROWS($L$27:L43)-1),1,1)</f>
        <v>37946.521769999999</v>
      </c>
      <c r="E44" s="7">
        <f ca="1">OFFSET($U$5,(ROWS($L$27:M43)-1),-(ROWS($L$27:M43)-1)+(COLUMNS($M$27:N43)-1),1,1)</f>
        <v>37692.445050000002</v>
      </c>
      <c r="F44" s="7">
        <f ca="1">OFFSET($U$5,(ROWS($L$27:N43)-1),-(ROWS($L$27:N43)-1)+(COLUMNS($M$27:O43)-1),1,1)</f>
        <v>37686.371310000002</v>
      </c>
      <c r="G44" s="7">
        <f ca="1">OFFSET($U$5,(ROWS($L$27:O43)-1),-(ROWS($L$27:O43)-1)+(COLUMNS($M$27:P43)-1),1,1)</f>
        <v>37629.216500000002</v>
      </c>
      <c r="H44" s="7">
        <f ca="1">OFFSET($U$5,(ROWS($L$27:P43)-1),-(ROWS($L$27:P43)-1)+(COLUMNS($M$27:Q43)-1),1,1)</f>
        <v>37634.198859999997</v>
      </c>
      <c r="I44" s="7">
        <f ca="1">OFFSET($U$5,(ROWS($L$27:Q43)-1),-(ROWS($L$27:Q43)-1)+(COLUMNS($M$27:R43)-1),1,1)</f>
        <v>37634.198859999997</v>
      </c>
      <c r="J44" s="7">
        <f ca="1">OFFSET($U$5,(ROWS($L$27:R43)-1),-(ROWS($L$27:R43)-1)+(COLUMNS($M$27:S43)-1),1,1)</f>
        <v>37612.44255</v>
      </c>
      <c r="K44" s="7">
        <f ca="1">OFFSET($U$5,(ROWS($L$27:S43)-1),-(ROWS($L$27:S43)-1)+(COLUMNS($M$27:T43)-1),1,1)</f>
        <v>37612.44255</v>
      </c>
      <c r="L44" s="7">
        <f ca="1">OFFSET($U$5,(ROWS($L$27:T43)-1),-(ROWS($L$27:T43)-1)+(COLUMNS($M$27:U43)-1),1,1)</f>
        <v>37599.796840000003</v>
      </c>
      <c r="M44" s="7">
        <f ca="1">OFFSET($U$5,(ROWS($L$27:U43)-1),-(ROWS($L$27:U43)-1)+(COLUMNS($M$27:V43)-1),1,1)</f>
        <v>37599.796840000003</v>
      </c>
      <c r="N44" s="7">
        <f ca="1">OFFSET($U$5,(ROWS($L$27:V43)-1),-(ROWS($L$27:V43)-1)+(COLUMNS($M$27:V43)-1),1,1)</f>
        <v>37599.796840000003</v>
      </c>
      <c r="O44" s="7">
        <f ca="1">OFFSET($U$5,(ROWS($L$27:V43)-1),-(ROWS($L$27:V43)-1)+(COLUMNS($M$27:W43)-1),1,1)</f>
        <v>37599.796840000003</v>
      </c>
      <c r="P44" s="7">
        <f ca="1">OFFSET($U$5,(ROWS($L$27:W43)-1),-(ROWS($L$27:W43)-1)+(COLUMNS($M$27:X43)-1),1,1)</f>
        <v>37599.796840000003</v>
      </c>
      <c r="Q44" s="7">
        <f ca="1">OFFSET($U$5,(ROWS($L$27:X43)-1),-(ROWS($L$27:X43)-1)+(COLUMNS($M$27:Y43)-1),1,1)</f>
        <v>37599.796840000003</v>
      </c>
      <c r="R44" s="7">
        <f ca="1">OFFSET($U$5,(ROWS($L$27:Y43)-1),-(ROWS($L$27:Y43)-1)+(COLUMNS($M$27:Z43)-1),1,1)</f>
        <v>37599.820570000003</v>
      </c>
      <c r="S44" s="7">
        <f ca="1">OFFSET($U$5,(ROWS($L$27:Z43)-1),-(ROWS($L$27:Z43)-1)+(COLUMNS($M$27:AA43)-1),1,1)</f>
        <v>37599.820570000003</v>
      </c>
      <c r="T44" s="7">
        <f ca="1">OFFSET($U$5,(ROWS($L$27:AA43)-1),-(ROWS($L$27:AA43)-1)+(COLUMNS($M$27:AB43)-1),1,1)</f>
        <v>37599.796840000003</v>
      </c>
      <c r="U44" s="7">
        <f ca="1">OFFSET($U$5,(ROWS($L$27:AB43)-1),-(ROWS($L$27:AB43)-1)+(COLUMNS($M$27:AC43)-1),1,1)</f>
        <v>37599.820570000003</v>
      </c>
      <c r="V44" s="7">
        <f ca="1">OFFSET($U$5,(ROWS($L$27:AC43)-1),-(ROWS($L$27:AC43)-1)+(COLUMNS($M$27:AD43)-1),1,1)</f>
        <v>0</v>
      </c>
      <c r="W44" s="7">
        <f ca="1">OFFSET($U$5,(ROWS($L$27:AD43)-1),-(ROWS($L$27:AD43)-1)+(COLUMNS($M$27:AE43)-1),1,1)</f>
        <v>0</v>
      </c>
      <c r="X44" s="7">
        <f ca="1">OFFSET($U$5,(ROWS($L$27:AE43)-1),-(ROWS($L$27:AE43)-1)+(COLUMNS($M$27:AF43)-1),1,1)</f>
        <v>0</v>
      </c>
    </row>
    <row r="45" spans="2:24" x14ac:dyDescent="0.25">
      <c r="B45" s="5" t="str">
        <f t="shared" si="2"/>
        <v>201406</v>
      </c>
      <c r="C45" s="7">
        <f ca="1">'CC examples - SME'!D48</f>
        <v>38685.951719999997</v>
      </c>
      <c r="D45" s="7">
        <f ca="1">OFFSET($U$5,(ROWS($L$27:L44)-1)+(COLUMNS($M$27:M44)-1),-(ROWS($L$27:L44)-1),1,1)</f>
        <v>38611.975509999997</v>
      </c>
      <c r="E45" s="7">
        <f ca="1">OFFSET($U$5,(ROWS($L$27:M44)-1),-(ROWS($L$27:M44)-1)+(COLUMNS($M$27:N44)-1),1,1)</f>
        <v>37948.230009999999</v>
      </c>
      <c r="F45" s="7">
        <f ca="1">OFFSET($U$5,(ROWS($L$27:N44)-1),-(ROWS($L$27:N44)-1)+(COLUMNS($M$27:O44)-1),1,1)</f>
        <v>38007.567569999999</v>
      </c>
      <c r="G45" s="7">
        <f ca="1">OFFSET($U$5,(ROWS($L$27:O44)-1),-(ROWS($L$27:O44)-1)+(COLUMNS($M$27:P44)-1),1,1)</f>
        <v>38109.231480000002</v>
      </c>
      <c r="H45" s="7">
        <f ca="1">OFFSET($U$5,(ROWS($L$27:P44)-1),-(ROWS($L$27:P44)-1)+(COLUMNS($M$27:Q44)-1),1,1)</f>
        <v>38098.744789999997</v>
      </c>
      <c r="I45" s="7">
        <f ca="1">OFFSET($U$5,(ROWS($L$27:Q44)-1),-(ROWS($L$27:Q44)-1)+(COLUMNS($M$27:R44)-1),1,1)</f>
        <v>38210.088710000004</v>
      </c>
      <c r="J45" s="7">
        <f ca="1">OFFSET($U$5,(ROWS($L$27:R44)-1),-(ROWS($L$27:R44)-1)+(COLUMNS($M$27:S44)-1),1,1)</f>
        <v>38178.842190000003</v>
      </c>
      <c r="K45" s="7">
        <f ca="1">OFFSET($U$5,(ROWS($L$27:S44)-1),-(ROWS($L$27:S44)-1)+(COLUMNS($M$27:T44)-1),1,1)</f>
        <v>38178.842190000003</v>
      </c>
      <c r="L45" s="7">
        <f ca="1">OFFSET($U$5,(ROWS($L$27:T44)-1),-(ROWS($L$27:T44)-1)+(COLUMNS($M$27:U44)-1),1,1)</f>
        <v>38177.655910000001</v>
      </c>
      <c r="M45" s="7">
        <f ca="1">OFFSET($U$5,(ROWS($L$27:U44)-1),-(ROWS($L$27:U44)-1)+(COLUMNS($M$27:V44)-1),1,1)</f>
        <v>38177.655910000001</v>
      </c>
      <c r="N45" s="7">
        <f ca="1">OFFSET($U$5,(ROWS($L$27:V44)-1),-(ROWS($L$27:V44)-1)+(COLUMNS($M$27:V44)-1),1,1)</f>
        <v>38177.655910000001</v>
      </c>
      <c r="O45" s="7">
        <f ca="1">OFFSET($U$5,(ROWS($L$27:V44)-1),-(ROWS($L$27:V44)-1)+(COLUMNS($M$27:W44)-1),1,1)</f>
        <v>38177.655910000001</v>
      </c>
      <c r="P45" s="7">
        <f ca="1">OFFSET($U$5,(ROWS($L$27:W44)-1),-(ROWS($L$27:W44)-1)+(COLUMNS($M$27:X44)-1),1,1)</f>
        <v>38177.655910000001</v>
      </c>
      <c r="Q45" s="7">
        <f ca="1">OFFSET($U$5,(ROWS($L$27:X44)-1),-(ROWS($L$27:X44)-1)+(COLUMNS($M$27:Y44)-1),1,1)</f>
        <v>38177.655910000001</v>
      </c>
      <c r="R45" s="7">
        <f ca="1">OFFSET($U$5,(ROWS($L$27:Y44)-1),-(ROWS($L$27:Y44)-1)+(COLUMNS($M$27:Z44)-1),1,1)</f>
        <v>38177.655910000001</v>
      </c>
      <c r="S45" s="7">
        <f ca="1">OFFSET($U$5,(ROWS($L$27:Z44)-1),-(ROWS($L$27:Z44)-1)+(COLUMNS($M$27:AA44)-1),1,1)</f>
        <v>38177.655910000001</v>
      </c>
      <c r="T45" s="7">
        <f ca="1">OFFSET($U$5,(ROWS($L$27:AA44)-1),-(ROWS($L$27:AA44)-1)+(COLUMNS($M$27:AB44)-1),1,1)</f>
        <v>38175.401989999998</v>
      </c>
      <c r="U45" s="7">
        <f ca="1">OFFSET($U$5,(ROWS($L$27:AB44)-1),-(ROWS($L$27:AB44)-1)+(COLUMNS($M$27:AC44)-1),1,1)</f>
        <v>38175.401989999998</v>
      </c>
      <c r="V45" s="7">
        <f ca="1">OFFSET($U$5,(ROWS($L$27:AC44)-1),-(ROWS($L$27:AC44)-1)+(COLUMNS($M$27:AD44)-1),1,1)</f>
        <v>38185.722589999998</v>
      </c>
      <c r="W45" s="7">
        <f ca="1">OFFSET($U$5,(ROWS($L$27:AD44)-1),-(ROWS($L$27:AD44)-1)+(COLUMNS($M$27:AE44)-1),1,1)</f>
        <v>0</v>
      </c>
      <c r="X45" s="7">
        <f ca="1">OFFSET($U$5,(ROWS($L$27:AE44)-1),-(ROWS($L$27:AE44)-1)+(COLUMNS($M$27:AF44)-1),1,1)</f>
        <v>0</v>
      </c>
    </row>
    <row r="46" spans="2:24" x14ac:dyDescent="0.25">
      <c r="B46" s="5" t="str">
        <f t="shared" si="2"/>
        <v>201409</v>
      </c>
      <c r="C46" s="7">
        <f ca="1">'CC examples - SME'!D49</f>
        <v>34819.306790000002</v>
      </c>
      <c r="D46" s="7">
        <f ca="1">OFFSET($U$5,(ROWS($L$27:L45)-1)+(COLUMNS($M$27:M45)-1),-(ROWS($L$27:L45)-1),1,1)</f>
        <v>35282.144469999999</v>
      </c>
      <c r="E46" s="7">
        <f ca="1">OFFSET($U$5,(ROWS($L$27:M45)-1),-(ROWS($L$27:M45)-1)+(COLUMNS($M$27:N45)-1),1,1)</f>
        <v>34872.143550000001</v>
      </c>
      <c r="F46" s="7">
        <f ca="1">OFFSET($U$5,(ROWS($L$27:N45)-1),-(ROWS($L$27:N45)-1)+(COLUMNS($M$27:O45)-1),1,1)</f>
        <v>35780.523009999997</v>
      </c>
      <c r="G46" s="7">
        <f ca="1">OFFSET($U$5,(ROWS($L$27:O45)-1),-(ROWS($L$27:O45)-1)+(COLUMNS($M$27:P45)-1),1,1)</f>
        <v>35467.417159999997</v>
      </c>
      <c r="H46" s="7">
        <f ca="1">OFFSET($U$5,(ROWS($L$27:P45)-1),-(ROWS($L$27:P45)-1)+(COLUMNS($M$27:Q45)-1),1,1)</f>
        <v>35473.395989999997</v>
      </c>
      <c r="I46" s="7">
        <f ca="1">OFFSET($U$5,(ROWS($L$27:Q45)-1),-(ROWS($L$27:Q45)-1)+(COLUMNS($M$27:R45)-1),1,1)</f>
        <v>35477.310709999998</v>
      </c>
      <c r="J46" s="7">
        <f ca="1">OFFSET($U$5,(ROWS($L$27:R45)-1),-(ROWS($L$27:R45)-1)+(COLUMNS($M$27:S45)-1),1,1)</f>
        <v>35450.192419999999</v>
      </c>
      <c r="K46" s="7">
        <f ca="1">OFFSET($U$5,(ROWS($L$27:S45)-1),-(ROWS($L$27:S45)-1)+(COLUMNS($M$27:T45)-1),1,1)</f>
        <v>35662.915549999998</v>
      </c>
      <c r="L46" s="7">
        <f ca="1">OFFSET($U$5,(ROWS($L$27:T45)-1),-(ROWS($L$27:T45)-1)+(COLUMNS($M$27:U45)-1),1,1)</f>
        <v>35628.347439999998</v>
      </c>
      <c r="M46" s="7">
        <f ca="1">OFFSET($U$5,(ROWS($L$27:U45)-1),-(ROWS($L$27:U45)-1)+(COLUMNS($M$27:V45)-1),1,1)</f>
        <v>35557.69281</v>
      </c>
      <c r="N46" s="7">
        <f ca="1">OFFSET($U$5,(ROWS($L$27:V45)-1),-(ROWS($L$27:V45)-1)+(COLUMNS($M$27:V45)-1),1,1)</f>
        <v>35557.69281</v>
      </c>
      <c r="O46" s="7">
        <f ca="1">OFFSET($U$5,(ROWS($L$27:V45)-1),-(ROWS($L$27:V45)-1)+(COLUMNS($M$27:W45)-1),1,1)</f>
        <v>35557.69281</v>
      </c>
      <c r="P46" s="7">
        <f ca="1">OFFSET($U$5,(ROWS($L$27:W45)-1),-(ROWS($L$27:W45)-1)+(COLUMNS($M$27:X45)-1),1,1)</f>
        <v>35563.695370000001</v>
      </c>
      <c r="Q46" s="7">
        <f ca="1">OFFSET($U$5,(ROWS($L$27:X45)-1),-(ROWS($L$27:X45)-1)+(COLUMNS($M$27:Y45)-1),1,1)</f>
        <v>35563.695370000001</v>
      </c>
      <c r="R46" s="7">
        <f ca="1">OFFSET($U$5,(ROWS($L$27:Y45)-1),-(ROWS($L$27:Y45)-1)+(COLUMNS($M$27:Z45)-1),1,1)</f>
        <v>35576.127549999997</v>
      </c>
      <c r="S46" s="7">
        <f ca="1">OFFSET($U$5,(ROWS($L$27:Z45)-1),-(ROWS($L$27:Z45)-1)+(COLUMNS($M$27:AA45)-1),1,1)</f>
        <v>35576.127549999997</v>
      </c>
      <c r="T46" s="7">
        <f ca="1">OFFSET($U$5,(ROWS($L$27:AA45)-1),-(ROWS($L$27:AA45)-1)+(COLUMNS($M$27:AB45)-1),1,1)</f>
        <v>35570.884209999997</v>
      </c>
      <c r="U46" s="7">
        <f ca="1">OFFSET($U$5,(ROWS($L$27:AB45)-1),-(ROWS($L$27:AB45)-1)+(COLUMNS($M$27:AC45)-1),1,1)</f>
        <v>35570.884209999997</v>
      </c>
      <c r="V46" s="7">
        <f ca="1">OFFSET($U$5,(ROWS($L$27:AC45)-1),-(ROWS($L$27:AC45)-1)+(COLUMNS($M$27:AD45)-1),1,1)</f>
        <v>35568.914989999997</v>
      </c>
      <c r="W46" s="7">
        <f ca="1">OFFSET($U$5,(ROWS($L$27:AD45)-1),-(ROWS($L$27:AD45)-1)+(COLUMNS($M$27:AE45)-1),1,1)</f>
        <v>35555.58124</v>
      </c>
      <c r="X46" s="7">
        <f ca="1">OFFSET($U$5,(ROWS($L$27:AE45)-1),-(ROWS($L$27:AE45)-1)+(COLUMNS($M$27:AF45)-1),1,1)</f>
        <v>0</v>
      </c>
    </row>
    <row r="47" spans="2:24" x14ac:dyDescent="0.25">
      <c r="B47" s="5" t="str">
        <f t="shared" si="2"/>
        <v>201412</v>
      </c>
      <c r="C47" s="7">
        <f ca="1">'CC examples - SME'!D50</f>
        <v>25472.84679</v>
      </c>
      <c r="D47" s="7">
        <f ca="1">OFFSET($U$5,(ROWS($L$27:L46)-1)+(COLUMNS($M$27:M46)-1),-(ROWS($L$27:L46)-1),1,1)</f>
        <v>35454.984980000001</v>
      </c>
      <c r="E47" s="7">
        <f ca="1">OFFSET($U$5,(ROWS($L$27:M46)-1),-(ROWS($L$27:M46)-1)+(COLUMNS($M$27:N46)-1),1,1)</f>
        <v>36729.971369999999</v>
      </c>
      <c r="F47" s="7">
        <f ca="1">OFFSET($U$5,(ROWS($L$27:N46)-1),-(ROWS($L$27:N46)-1)+(COLUMNS($M$27:O46)-1),1,1)</f>
        <v>37065.545299999998</v>
      </c>
      <c r="G47" s="7">
        <f ca="1">OFFSET($U$5,(ROWS($L$27:O46)-1),-(ROWS($L$27:O46)-1)+(COLUMNS($M$27:P46)-1),1,1)</f>
        <v>36676.588920000002</v>
      </c>
      <c r="H47" s="7">
        <f ca="1">OFFSET($U$5,(ROWS($L$27:P46)-1),-(ROWS($L$27:P46)-1)+(COLUMNS($M$27:Q46)-1),1,1)</f>
        <v>36631.462959999997</v>
      </c>
      <c r="I47" s="7">
        <f ca="1">OFFSET($U$5,(ROWS($L$27:Q46)-1),-(ROWS($L$27:Q46)-1)+(COLUMNS($M$27:R46)-1),1,1)</f>
        <v>36391.882530000003</v>
      </c>
      <c r="J47" s="7">
        <f ca="1">OFFSET($U$5,(ROWS($L$27:R46)-1),-(ROWS($L$27:R46)-1)+(COLUMNS($M$27:S46)-1),1,1)</f>
        <v>36360.659729999999</v>
      </c>
      <c r="K47" s="7">
        <f ca="1">OFFSET($U$5,(ROWS($L$27:S46)-1),-(ROWS($L$27:S46)-1)+(COLUMNS($M$27:T46)-1),1,1)</f>
        <v>36376.366029999997</v>
      </c>
      <c r="L47" s="7">
        <f ca="1">OFFSET($U$5,(ROWS($L$27:T46)-1),-(ROWS($L$27:T46)-1)+(COLUMNS($M$27:U46)-1),1,1)</f>
        <v>36386.781540000004</v>
      </c>
      <c r="M47" s="7">
        <f ca="1">OFFSET($U$5,(ROWS($L$27:U46)-1),-(ROWS($L$27:U46)-1)+(COLUMNS($M$27:V46)-1),1,1)</f>
        <v>36420.495519999997</v>
      </c>
      <c r="N47" s="7">
        <f ca="1">OFFSET($U$5,(ROWS($L$27:V46)-1),-(ROWS($L$27:V46)-1)+(COLUMNS($M$27:V46)-1),1,1)</f>
        <v>36420.495519999997</v>
      </c>
      <c r="O47" s="7">
        <f ca="1">OFFSET($U$5,(ROWS($L$27:V46)-1),-(ROWS($L$27:V46)-1)+(COLUMNS($M$27:W46)-1),1,1)</f>
        <v>36420.495519999997</v>
      </c>
      <c r="P47" s="7">
        <f ca="1">OFFSET($U$5,(ROWS($L$27:W46)-1),-(ROWS($L$27:W46)-1)+(COLUMNS($M$27:X46)-1),1,1)</f>
        <v>36430.911030000003</v>
      </c>
      <c r="Q47" s="7">
        <f ca="1">OFFSET($U$5,(ROWS($L$27:X46)-1),-(ROWS($L$27:X46)-1)+(COLUMNS($M$27:Y46)-1),1,1)</f>
        <v>36445.027719999998</v>
      </c>
      <c r="R47" s="7">
        <f ca="1">OFFSET($U$5,(ROWS($L$27:Y46)-1),-(ROWS($L$27:Y46)-1)+(COLUMNS($M$27:Z46)-1),1,1)</f>
        <v>36449.701650000003</v>
      </c>
      <c r="S47" s="7">
        <f ca="1">OFFSET($U$5,(ROWS($L$27:Z46)-1),-(ROWS($L$27:Z46)-1)+(COLUMNS($M$27:AA46)-1),1,1)</f>
        <v>36449.867729999998</v>
      </c>
      <c r="T47" s="7">
        <f ca="1">OFFSET($U$5,(ROWS($L$27:AA46)-1),-(ROWS($L$27:AA46)-1)+(COLUMNS($M$27:AB46)-1),1,1)</f>
        <v>36436.984770000003</v>
      </c>
      <c r="U47" s="7">
        <f ca="1">OFFSET($U$5,(ROWS($L$27:AB46)-1),-(ROWS($L$27:AB46)-1)+(COLUMNS($M$27:AC46)-1),1,1)</f>
        <v>36436.984770000003</v>
      </c>
      <c r="V47" s="7">
        <f ca="1">OFFSET($U$5,(ROWS($L$27:AC46)-1),-(ROWS($L$27:AC46)-1)+(COLUMNS($M$27:AD46)-1),1,1)</f>
        <v>36436.984770000003</v>
      </c>
      <c r="W47" s="7">
        <f ca="1">OFFSET($U$5,(ROWS($L$27:AD46)-1),-(ROWS($L$27:AD46)-1)+(COLUMNS($M$27:AE46)-1),1,1)</f>
        <v>36436.984770000003</v>
      </c>
      <c r="X47" s="7">
        <f ca="1">OFFSET($U$5,(ROWS($L$27:AE46)-1),-(ROWS($L$27:AE46)-1)+(COLUMNS($M$27:AF46)-1),1,1)</f>
        <v>36436.984770000003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11"/>
  <sheetViews>
    <sheetView workbookViewId="0">
      <selection sqref="A1:F211"/>
    </sheetView>
  </sheetViews>
  <sheetFormatPr defaultRowHeight="15" x14ac:dyDescent="0.25"/>
  <cols>
    <col min="1" max="1" width="10.7109375" bestFit="1" customWidth="1"/>
    <col min="2" max="2" width="13.140625" bestFit="1" customWidth="1"/>
    <col min="3" max="3" width="3.5703125" bestFit="1" customWidth="1"/>
    <col min="4" max="4" width="12" bestFit="1" customWidth="1"/>
    <col min="5" max="5" width="11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</row>
    <row r="2" spans="1:6" x14ac:dyDescent="0.25">
      <c r="A2" s="1">
        <v>40268</v>
      </c>
      <c r="B2" s="1">
        <v>40268</v>
      </c>
      <c r="C2">
        <v>0</v>
      </c>
      <c r="D2">
        <v>2013.946441</v>
      </c>
      <c r="E2">
        <v>25728.2402</v>
      </c>
      <c r="F2" s="1" t="str">
        <f>YEAR(A2)&amp;IF(LEN(MONTH(A2))=1,"0"&amp;MONTH(A2),MONTH(A2))</f>
        <v>201003</v>
      </c>
    </row>
    <row r="3" spans="1:6" x14ac:dyDescent="0.25">
      <c r="A3" s="1">
        <v>40268</v>
      </c>
      <c r="B3" s="1">
        <v>40359</v>
      </c>
      <c r="C3">
        <v>1</v>
      </c>
      <c r="D3">
        <v>3924.7983920000001</v>
      </c>
      <c r="E3">
        <v>25728.2402</v>
      </c>
      <c r="F3" s="1" t="str">
        <f t="shared" ref="F3:F66" si="0">YEAR(A3)&amp;IF(LEN(MONTH(A3))=1,"0"&amp;MONTH(A3),MONTH(A3))</f>
        <v>201003</v>
      </c>
    </row>
    <row r="4" spans="1:6" x14ac:dyDescent="0.25">
      <c r="A4" s="1">
        <v>40268</v>
      </c>
      <c r="B4" s="1">
        <v>40451</v>
      </c>
      <c r="C4">
        <v>2</v>
      </c>
      <c r="D4">
        <v>6027.3191349999997</v>
      </c>
      <c r="E4">
        <v>25728.2402</v>
      </c>
      <c r="F4" s="1" t="str">
        <f t="shared" si="0"/>
        <v>201003</v>
      </c>
    </row>
    <row r="5" spans="1:6" x14ac:dyDescent="0.25">
      <c r="A5" s="1">
        <v>40268</v>
      </c>
      <c r="B5" s="1">
        <v>40543</v>
      </c>
      <c r="C5">
        <v>3</v>
      </c>
      <c r="D5">
        <v>6476.8752830000003</v>
      </c>
      <c r="E5">
        <v>25728.2402</v>
      </c>
      <c r="F5" s="1" t="str">
        <f t="shared" si="0"/>
        <v>201003</v>
      </c>
    </row>
    <row r="6" spans="1:6" x14ac:dyDescent="0.25">
      <c r="A6" s="1">
        <v>40268</v>
      </c>
      <c r="B6" s="1">
        <v>40633</v>
      </c>
      <c r="C6">
        <v>4</v>
      </c>
      <c r="D6">
        <v>5624.0787790000004</v>
      </c>
      <c r="E6">
        <v>25728.2402</v>
      </c>
      <c r="F6" s="1" t="str">
        <f t="shared" si="0"/>
        <v>201003</v>
      </c>
    </row>
    <row r="7" spans="1:6" x14ac:dyDescent="0.25">
      <c r="A7" s="1">
        <v>40268</v>
      </c>
      <c r="B7" s="1">
        <v>40724</v>
      </c>
      <c r="C7">
        <v>5</v>
      </c>
      <c r="D7">
        <v>5159.3165429999999</v>
      </c>
      <c r="E7">
        <v>25728.2402</v>
      </c>
      <c r="F7" s="1" t="str">
        <f t="shared" si="0"/>
        <v>201003</v>
      </c>
    </row>
    <row r="8" spans="1:6" x14ac:dyDescent="0.25">
      <c r="A8" s="1">
        <v>40268</v>
      </c>
      <c r="B8" s="1">
        <v>40816</v>
      </c>
      <c r="C8">
        <v>6</v>
      </c>
      <c r="D8">
        <v>5213.8515289999996</v>
      </c>
      <c r="E8">
        <v>25728.2402</v>
      </c>
      <c r="F8" s="1" t="str">
        <f t="shared" si="0"/>
        <v>201003</v>
      </c>
    </row>
    <row r="9" spans="1:6" x14ac:dyDescent="0.25">
      <c r="A9" s="1">
        <v>40268</v>
      </c>
      <c r="B9" s="1">
        <v>40908</v>
      </c>
      <c r="C9">
        <v>7</v>
      </c>
      <c r="D9">
        <v>6240.6926430000003</v>
      </c>
      <c r="E9">
        <v>25728.2402</v>
      </c>
      <c r="F9" s="1" t="str">
        <f t="shared" si="0"/>
        <v>201003</v>
      </c>
    </row>
    <row r="10" spans="1:6" x14ac:dyDescent="0.25">
      <c r="A10" s="1">
        <v>40268</v>
      </c>
      <c r="B10" s="1">
        <v>40999</v>
      </c>
      <c r="C10">
        <v>8</v>
      </c>
      <c r="D10">
        <v>6705.3502500000004</v>
      </c>
      <c r="E10">
        <v>25728.2402</v>
      </c>
      <c r="F10" s="1" t="str">
        <f t="shared" si="0"/>
        <v>201003</v>
      </c>
    </row>
    <row r="11" spans="1:6" x14ac:dyDescent="0.25">
      <c r="A11" s="1">
        <v>40268</v>
      </c>
      <c r="B11" s="1">
        <v>41090</v>
      </c>
      <c r="C11">
        <v>9</v>
      </c>
      <c r="D11">
        <v>6716.243297</v>
      </c>
      <c r="E11">
        <v>25728.2402</v>
      </c>
      <c r="F11" s="1" t="str">
        <f t="shared" si="0"/>
        <v>201003</v>
      </c>
    </row>
    <row r="12" spans="1:6" x14ac:dyDescent="0.25">
      <c r="A12" s="1">
        <v>40268</v>
      </c>
      <c r="B12" s="1">
        <v>41182</v>
      </c>
      <c r="C12">
        <v>10</v>
      </c>
      <c r="D12">
        <v>7373.2672240000002</v>
      </c>
      <c r="E12">
        <v>25728.2402</v>
      </c>
      <c r="F12" s="1" t="str">
        <f t="shared" si="0"/>
        <v>201003</v>
      </c>
    </row>
    <row r="13" spans="1:6" x14ac:dyDescent="0.25">
      <c r="A13" s="1">
        <v>40268</v>
      </c>
      <c r="B13" s="1">
        <v>41274</v>
      </c>
      <c r="C13">
        <v>11</v>
      </c>
      <c r="D13">
        <v>7695.7455790000004</v>
      </c>
      <c r="E13">
        <v>25728.2402</v>
      </c>
      <c r="F13" s="1" t="str">
        <f t="shared" si="0"/>
        <v>201003</v>
      </c>
    </row>
    <row r="14" spans="1:6" x14ac:dyDescent="0.25">
      <c r="A14" s="1">
        <v>40268</v>
      </c>
      <c r="B14" s="1">
        <v>41364</v>
      </c>
      <c r="C14">
        <v>12</v>
      </c>
      <c r="D14">
        <v>9011.2466139999997</v>
      </c>
      <c r="E14">
        <v>25728.2402</v>
      </c>
      <c r="F14" s="1" t="str">
        <f t="shared" si="0"/>
        <v>201003</v>
      </c>
    </row>
    <row r="15" spans="1:6" x14ac:dyDescent="0.25">
      <c r="A15" s="1">
        <v>40268</v>
      </c>
      <c r="B15" s="1">
        <v>41455</v>
      </c>
      <c r="C15">
        <v>13</v>
      </c>
      <c r="D15">
        <v>9229.5028110000003</v>
      </c>
      <c r="E15">
        <v>25728.2402</v>
      </c>
      <c r="F15" s="1" t="str">
        <f t="shared" si="0"/>
        <v>201003</v>
      </c>
    </row>
    <row r="16" spans="1:6" x14ac:dyDescent="0.25">
      <c r="A16" s="1">
        <v>40268</v>
      </c>
      <c r="B16" s="1">
        <v>41547</v>
      </c>
      <c r="C16">
        <v>14</v>
      </c>
      <c r="D16">
        <v>8408.5135379999992</v>
      </c>
      <c r="E16">
        <v>25728.2402</v>
      </c>
      <c r="F16" s="1" t="str">
        <f t="shared" si="0"/>
        <v>201003</v>
      </c>
    </row>
    <row r="17" spans="1:6" x14ac:dyDescent="0.25">
      <c r="A17" s="1">
        <v>40268</v>
      </c>
      <c r="B17" s="1">
        <v>41639</v>
      </c>
      <c r="C17">
        <v>15</v>
      </c>
      <c r="D17">
        <v>8448.1795739999998</v>
      </c>
      <c r="E17">
        <v>25728.2402</v>
      </c>
      <c r="F17" s="1" t="str">
        <f t="shared" si="0"/>
        <v>201003</v>
      </c>
    </row>
    <row r="18" spans="1:6" x14ac:dyDescent="0.25">
      <c r="A18" s="1">
        <v>40268</v>
      </c>
      <c r="B18" s="1">
        <v>41729</v>
      </c>
      <c r="C18">
        <v>16</v>
      </c>
      <c r="D18">
        <v>8824.2163760000003</v>
      </c>
      <c r="E18">
        <v>25728.2402</v>
      </c>
      <c r="F18" s="1" t="str">
        <f t="shared" si="0"/>
        <v>201003</v>
      </c>
    </row>
    <row r="19" spans="1:6" x14ac:dyDescent="0.25">
      <c r="A19" s="1">
        <v>40268</v>
      </c>
      <c r="B19" s="1">
        <v>41820</v>
      </c>
      <c r="C19">
        <v>17</v>
      </c>
      <c r="D19">
        <v>9202.4968910000007</v>
      </c>
      <c r="E19">
        <v>25728.2402</v>
      </c>
      <c r="F19" s="1" t="str">
        <f t="shared" si="0"/>
        <v>201003</v>
      </c>
    </row>
    <row r="20" spans="1:6" x14ac:dyDescent="0.25">
      <c r="A20" s="1">
        <v>40268</v>
      </c>
      <c r="B20" s="1">
        <v>41912</v>
      </c>
      <c r="C20">
        <v>18</v>
      </c>
      <c r="D20">
        <v>9388.4575879999993</v>
      </c>
      <c r="E20">
        <v>25728.2402</v>
      </c>
      <c r="F20" s="1" t="str">
        <f t="shared" si="0"/>
        <v>201003</v>
      </c>
    </row>
    <row r="21" spans="1:6" x14ac:dyDescent="0.25">
      <c r="A21" s="1">
        <v>40268</v>
      </c>
      <c r="B21" s="1">
        <v>42004</v>
      </c>
      <c r="C21">
        <v>19</v>
      </c>
      <c r="D21">
        <v>9349.6867120000006</v>
      </c>
      <c r="E21">
        <v>25728.2402</v>
      </c>
      <c r="F21" s="1" t="str">
        <f t="shared" si="0"/>
        <v>201003</v>
      </c>
    </row>
    <row r="22" spans="1:6" x14ac:dyDescent="0.25">
      <c r="A22" s="1">
        <v>40359</v>
      </c>
      <c r="B22" s="1">
        <v>40359</v>
      </c>
      <c r="C22">
        <v>0</v>
      </c>
      <c r="D22">
        <v>2531.2208340000002</v>
      </c>
      <c r="E22">
        <v>25975.350200000001</v>
      </c>
      <c r="F22" s="1" t="str">
        <f t="shared" si="0"/>
        <v>201006</v>
      </c>
    </row>
    <row r="23" spans="1:6" x14ac:dyDescent="0.25">
      <c r="A23" s="1">
        <v>40359</v>
      </c>
      <c r="B23" s="1">
        <v>40451</v>
      </c>
      <c r="C23">
        <v>1</v>
      </c>
      <c r="D23">
        <v>4102.4120149999999</v>
      </c>
      <c r="E23">
        <v>25975.350200000001</v>
      </c>
      <c r="F23" s="1" t="str">
        <f t="shared" si="0"/>
        <v>201006</v>
      </c>
    </row>
    <row r="24" spans="1:6" x14ac:dyDescent="0.25">
      <c r="A24" s="1">
        <v>40359</v>
      </c>
      <c r="B24" s="1">
        <v>40543</v>
      </c>
      <c r="C24">
        <v>2</v>
      </c>
      <c r="D24">
        <v>3674.7000880000001</v>
      </c>
      <c r="E24">
        <v>25975.350200000001</v>
      </c>
      <c r="F24" s="1" t="str">
        <f t="shared" si="0"/>
        <v>201006</v>
      </c>
    </row>
    <row r="25" spans="1:6" x14ac:dyDescent="0.25">
      <c r="A25" s="1">
        <v>40359</v>
      </c>
      <c r="B25" s="1">
        <v>40633</v>
      </c>
      <c r="C25">
        <v>3</v>
      </c>
      <c r="D25">
        <v>3868.1824499999998</v>
      </c>
      <c r="E25">
        <v>25975.350200000001</v>
      </c>
      <c r="F25" s="1" t="str">
        <f t="shared" si="0"/>
        <v>201006</v>
      </c>
    </row>
    <row r="26" spans="1:6" x14ac:dyDescent="0.25">
      <c r="A26" s="1">
        <v>40359</v>
      </c>
      <c r="B26" s="1">
        <v>40724</v>
      </c>
      <c r="C26">
        <v>4</v>
      </c>
      <c r="D26">
        <v>4796.172364</v>
      </c>
      <c r="E26">
        <v>25975.350200000001</v>
      </c>
      <c r="F26" s="1" t="str">
        <f t="shared" si="0"/>
        <v>201006</v>
      </c>
    </row>
    <row r="27" spans="1:6" x14ac:dyDescent="0.25">
      <c r="A27" s="1">
        <v>40359</v>
      </c>
      <c r="B27" s="1">
        <v>40816</v>
      </c>
      <c r="C27">
        <v>5</v>
      </c>
      <c r="D27">
        <v>6866.3511060000001</v>
      </c>
      <c r="E27">
        <v>25975.350200000001</v>
      </c>
      <c r="F27" s="1" t="str">
        <f t="shared" si="0"/>
        <v>201006</v>
      </c>
    </row>
    <row r="28" spans="1:6" x14ac:dyDescent="0.25">
      <c r="A28" s="1">
        <v>40359</v>
      </c>
      <c r="B28" s="1">
        <v>40908</v>
      </c>
      <c r="C28">
        <v>6</v>
      </c>
      <c r="D28">
        <v>6072.0771169999998</v>
      </c>
      <c r="E28">
        <v>25975.350200000001</v>
      </c>
      <c r="F28" s="1" t="str">
        <f t="shared" si="0"/>
        <v>201006</v>
      </c>
    </row>
    <row r="29" spans="1:6" x14ac:dyDescent="0.25">
      <c r="A29" s="1">
        <v>40359</v>
      </c>
      <c r="B29" s="1">
        <v>40999</v>
      </c>
      <c r="C29">
        <v>7</v>
      </c>
      <c r="D29">
        <v>6013.9847440000003</v>
      </c>
      <c r="E29">
        <v>25975.350200000001</v>
      </c>
      <c r="F29" s="1" t="str">
        <f t="shared" si="0"/>
        <v>201006</v>
      </c>
    </row>
    <row r="30" spans="1:6" x14ac:dyDescent="0.25">
      <c r="A30" s="1">
        <v>40359</v>
      </c>
      <c r="B30" s="1">
        <v>41090</v>
      </c>
      <c r="C30">
        <v>8</v>
      </c>
      <c r="D30">
        <v>5986.4556789999997</v>
      </c>
      <c r="E30">
        <v>25975.350200000001</v>
      </c>
      <c r="F30" s="1" t="str">
        <f t="shared" si="0"/>
        <v>201006</v>
      </c>
    </row>
    <row r="31" spans="1:6" x14ac:dyDescent="0.25">
      <c r="A31" s="1">
        <v>40359</v>
      </c>
      <c r="B31" s="1">
        <v>41182</v>
      </c>
      <c r="C31">
        <v>9</v>
      </c>
      <c r="D31">
        <v>5787.8813689999997</v>
      </c>
      <c r="E31">
        <v>25975.350200000001</v>
      </c>
      <c r="F31" s="1" t="str">
        <f t="shared" si="0"/>
        <v>201006</v>
      </c>
    </row>
    <row r="32" spans="1:6" x14ac:dyDescent="0.25">
      <c r="A32" s="1">
        <v>40359</v>
      </c>
      <c r="B32" s="1">
        <v>41274</v>
      </c>
      <c r="C32">
        <v>10</v>
      </c>
      <c r="D32">
        <v>5951.2073149999997</v>
      </c>
      <c r="E32">
        <v>25975.350200000001</v>
      </c>
      <c r="F32" s="1" t="str">
        <f t="shared" si="0"/>
        <v>201006</v>
      </c>
    </row>
    <row r="33" spans="1:6" x14ac:dyDescent="0.25">
      <c r="A33" s="1">
        <v>40359</v>
      </c>
      <c r="B33" s="1">
        <v>41364</v>
      </c>
      <c r="C33">
        <v>11</v>
      </c>
      <c r="D33">
        <v>5957.5664360000001</v>
      </c>
      <c r="E33">
        <v>25975.350200000001</v>
      </c>
      <c r="F33" s="1" t="str">
        <f t="shared" si="0"/>
        <v>201006</v>
      </c>
    </row>
    <row r="34" spans="1:6" x14ac:dyDescent="0.25">
      <c r="A34" s="1">
        <v>40359</v>
      </c>
      <c r="B34" s="1">
        <v>41455</v>
      </c>
      <c r="C34">
        <v>12</v>
      </c>
      <c r="D34">
        <v>6047.884556</v>
      </c>
      <c r="E34">
        <v>25975.350200000001</v>
      </c>
      <c r="F34" s="1" t="str">
        <f t="shared" si="0"/>
        <v>201006</v>
      </c>
    </row>
    <row r="35" spans="1:6" x14ac:dyDescent="0.25">
      <c r="A35" s="1">
        <v>40359</v>
      </c>
      <c r="B35" s="1">
        <v>41547</v>
      </c>
      <c r="C35">
        <v>13</v>
      </c>
      <c r="D35">
        <v>6064.7414580000004</v>
      </c>
      <c r="E35">
        <v>25975.350200000001</v>
      </c>
      <c r="F35" s="1" t="str">
        <f t="shared" si="0"/>
        <v>201006</v>
      </c>
    </row>
    <row r="36" spans="1:6" x14ac:dyDescent="0.25">
      <c r="A36" s="1">
        <v>40359</v>
      </c>
      <c r="B36" s="1">
        <v>41639</v>
      </c>
      <c r="C36">
        <v>14</v>
      </c>
      <c r="D36">
        <v>5876.6184279999998</v>
      </c>
      <c r="E36">
        <v>25975.350200000001</v>
      </c>
      <c r="F36" s="1" t="str">
        <f t="shared" si="0"/>
        <v>201006</v>
      </c>
    </row>
    <row r="37" spans="1:6" x14ac:dyDescent="0.25">
      <c r="A37" s="1">
        <v>40359</v>
      </c>
      <c r="B37" s="1">
        <v>41729</v>
      </c>
      <c r="C37">
        <v>15</v>
      </c>
      <c r="D37">
        <v>5969.3546420000002</v>
      </c>
      <c r="E37">
        <v>25975.350200000001</v>
      </c>
      <c r="F37" s="1" t="str">
        <f t="shared" si="0"/>
        <v>201006</v>
      </c>
    </row>
    <row r="38" spans="1:6" x14ac:dyDescent="0.25">
      <c r="A38" s="1">
        <v>40359</v>
      </c>
      <c r="B38" s="1">
        <v>41820</v>
      </c>
      <c r="C38">
        <v>16</v>
      </c>
      <c r="D38">
        <v>5986.5370569999995</v>
      </c>
      <c r="E38">
        <v>25975.350200000001</v>
      </c>
      <c r="F38" s="1" t="str">
        <f t="shared" si="0"/>
        <v>201006</v>
      </c>
    </row>
    <row r="39" spans="1:6" x14ac:dyDescent="0.25">
      <c r="A39" s="1">
        <v>40359</v>
      </c>
      <c r="B39" s="1">
        <v>41912</v>
      </c>
      <c r="C39">
        <v>17</v>
      </c>
      <c r="D39">
        <v>5997.3836019999999</v>
      </c>
      <c r="E39">
        <v>25975.350200000001</v>
      </c>
      <c r="F39" s="1" t="str">
        <f t="shared" si="0"/>
        <v>201006</v>
      </c>
    </row>
    <row r="40" spans="1:6" x14ac:dyDescent="0.25">
      <c r="A40" s="1">
        <v>40359</v>
      </c>
      <c r="B40" s="1">
        <v>42004</v>
      </c>
      <c r="C40">
        <v>18</v>
      </c>
      <c r="D40">
        <v>5766.6765480000004</v>
      </c>
      <c r="E40">
        <v>25975.350200000001</v>
      </c>
      <c r="F40" s="1" t="str">
        <f t="shared" si="0"/>
        <v>201006</v>
      </c>
    </row>
    <row r="41" spans="1:6" x14ac:dyDescent="0.25">
      <c r="A41" s="1">
        <v>40451</v>
      </c>
      <c r="B41" s="1">
        <v>40451</v>
      </c>
      <c r="C41">
        <v>0</v>
      </c>
      <c r="D41">
        <v>2373.0565879999999</v>
      </c>
      <c r="E41">
        <v>24954.4902</v>
      </c>
      <c r="F41" s="1" t="str">
        <f t="shared" si="0"/>
        <v>201009</v>
      </c>
    </row>
    <row r="42" spans="1:6" x14ac:dyDescent="0.25">
      <c r="A42" s="1">
        <v>40451</v>
      </c>
      <c r="B42" s="1">
        <v>40543</v>
      </c>
      <c r="C42">
        <v>1</v>
      </c>
      <c r="D42">
        <v>4426.3900530000001</v>
      </c>
      <c r="E42">
        <v>24954.4902</v>
      </c>
      <c r="F42" s="1" t="str">
        <f t="shared" si="0"/>
        <v>201009</v>
      </c>
    </row>
    <row r="43" spans="1:6" x14ac:dyDescent="0.25">
      <c r="A43" s="1">
        <v>40451</v>
      </c>
      <c r="B43" s="1">
        <v>40633</v>
      </c>
      <c r="C43">
        <v>2</v>
      </c>
      <c r="D43">
        <v>7274.1486379999997</v>
      </c>
      <c r="E43">
        <v>24954.4902</v>
      </c>
      <c r="F43" s="1" t="str">
        <f t="shared" si="0"/>
        <v>201009</v>
      </c>
    </row>
    <row r="44" spans="1:6" x14ac:dyDescent="0.25">
      <c r="A44" s="1">
        <v>40451</v>
      </c>
      <c r="B44" s="1">
        <v>40724</v>
      </c>
      <c r="C44">
        <v>3</v>
      </c>
      <c r="D44">
        <v>6513.6233300000004</v>
      </c>
      <c r="E44">
        <v>24954.4902</v>
      </c>
      <c r="F44" s="1" t="str">
        <f t="shared" si="0"/>
        <v>201009</v>
      </c>
    </row>
    <row r="45" spans="1:6" x14ac:dyDescent="0.25">
      <c r="A45" s="1">
        <v>40451</v>
      </c>
      <c r="B45" s="1">
        <v>40816</v>
      </c>
      <c r="C45">
        <v>4</v>
      </c>
      <c r="D45">
        <v>6699.1306350000004</v>
      </c>
      <c r="E45">
        <v>24954.4902</v>
      </c>
      <c r="F45" s="1" t="str">
        <f t="shared" si="0"/>
        <v>201009</v>
      </c>
    </row>
    <row r="46" spans="1:6" x14ac:dyDescent="0.25">
      <c r="A46" s="1">
        <v>40451</v>
      </c>
      <c r="B46" s="1">
        <v>40908</v>
      </c>
      <c r="C46">
        <v>5</v>
      </c>
      <c r="D46">
        <v>7062.8677109999999</v>
      </c>
      <c r="E46">
        <v>24954.4902</v>
      </c>
      <c r="F46" s="1" t="str">
        <f t="shared" si="0"/>
        <v>201009</v>
      </c>
    </row>
    <row r="47" spans="1:6" x14ac:dyDescent="0.25">
      <c r="A47" s="1">
        <v>40451</v>
      </c>
      <c r="B47" s="1">
        <v>40999</v>
      </c>
      <c r="C47">
        <v>6</v>
      </c>
      <c r="D47">
        <v>7602.8931110000003</v>
      </c>
      <c r="E47">
        <v>24954.4902</v>
      </c>
      <c r="F47" s="1" t="str">
        <f t="shared" si="0"/>
        <v>201009</v>
      </c>
    </row>
    <row r="48" spans="1:6" x14ac:dyDescent="0.25">
      <c r="A48" s="1">
        <v>40451</v>
      </c>
      <c r="B48" s="1">
        <v>41090</v>
      </c>
      <c r="C48">
        <v>7</v>
      </c>
      <c r="D48">
        <v>7727.2970500000001</v>
      </c>
      <c r="E48">
        <v>24954.4902</v>
      </c>
      <c r="F48" s="1" t="str">
        <f t="shared" si="0"/>
        <v>201009</v>
      </c>
    </row>
    <row r="49" spans="1:6" x14ac:dyDescent="0.25">
      <c r="A49" s="1">
        <v>40451</v>
      </c>
      <c r="B49" s="1">
        <v>41182</v>
      </c>
      <c r="C49">
        <v>8</v>
      </c>
      <c r="D49">
        <v>7130.4929529999999</v>
      </c>
      <c r="E49">
        <v>24954.4902</v>
      </c>
      <c r="F49" s="1" t="str">
        <f t="shared" si="0"/>
        <v>201009</v>
      </c>
    </row>
    <row r="50" spans="1:6" x14ac:dyDescent="0.25">
      <c r="A50" s="1">
        <v>40451</v>
      </c>
      <c r="B50" s="1">
        <v>41274</v>
      </c>
      <c r="C50">
        <v>9</v>
      </c>
      <c r="D50">
        <v>7655.4982710000004</v>
      </c>
      <c r="E50">
        <v>24954.4902</v>
      </c>
      <c r="F50" s="1" t="str">
        <f t="shared" si="0"/>
        <v>201009</v>
      </c>
    </row>
    <row r="51" spans="1:6" x14ac:dyDescent="0.25">
      <c r="A51" s="1">
        <v>40451</v>
      </c>
      <c r="B51" s="1">
        <v>41364</v>
      </c>
      <c r="C51">
        <v>10</v>
      </c>
      <c r="D51">
        <v>7948.7967470000003</v>
      </c>
      <c r="E51">
        <v>24954.4902</v>
      </c>
      <c r="F51" s="1" t="str">
        <f t="shared" si="0"/>
        <v>201009</v>
      </c>
    </row>
    <row r="52" spans="1:6" x14ac:dyDescent="0.25">
      <c r="A52" s="1">
        <v>40451</v>
      </c>
      <c r="B52" s="1">
        <v>41455</v>
      </c>
      <c r="C52">
        <v>11</v>
      </c>
      <c r="D52">
        <v>8586.5689289999991</v>
      </c>
      <c r="E52">
        <v>24954.4902</v>
      </c>
      <c r="F52" s="1" t="str">
        <f t="shared" si="0"/>
        <v>201009</v>
      </c>
    </row>
    <row r="53" spans="1:6" x14ac:dyDescent="0.25">
      <c r="A53" s="1">
        <v>40451</v>
      </c>
      <c r="B53" s="1">
        <v>41547</v>
      </c>
      <c r="C53">
        <v>12</v>
      </c>
      <c r="D53">
        <v>9113.0506789999999</v>
      </c>
      <c r="E53">
        <v>24954.4902</v>
      </c>
      <c r="F53" s="1" t="str">
        <f t="shared" si="0"/>
        <v>201009</v>
      </c>
    </row>
    <row r="54" spans="1:6" x14ac:dyDescent="0.25">
      <c r="A54" s="1">
        <v>40451</v>
      </c>
      <c r="B54" s="1">
        <v>41639</v>
      </c>
      <c r="C54">
        <v>13</v>
      </c>
      <c r="D54">
        <v>7730.2964160000001</v>
      </c>
      <c r="E54">
        <v>24954.4902</v>
      </c>
      <c r="F54" s="1" t="str">
        <f t="shared" si="0"/>
        <v>201009</v>
      </c>
    </row>
    <row r="55" spans="1:6" x14ac:dyDescent="0.25">
      <c r="A55" s="1">
        <v>40451</v>
      </c>
      <c r="B55" s="1">
        <v>41729</v>
      </c>
      <c r="C55">
        <v>14</v>
      </c>
      <c r="D55">
        <v>7925.092455</v>
      </c>
      <c r="E55">
        <v>24954.4902</v>
      </c>
      <c r="F55" s="1" t="str">
        <f t="shared" si="0"/>
        <v>201009</v>
      </c>
    </row>
    <row r="56" spans="1:6" x14ac:dyDescent="0.25">
      <c r="A56" s="1">
        <v>40451</v>
      </c>
      <c r="B56" s="1">
        <v>41820</v>
      </c>
      <c r="C56">
        <v>15</v>
      </c>
      <c r="D56">
        <v>8275.5765190000002</v>
      </c>
      <c r="E56">
        <v>24954.4902</v>
      </c>
      <c r="F56" s="1" t="str">
        <f t="shared" si="0"/>
        <v>201009</v>
      </c>
    </row>
    <row r="57" spans="1:6" x14ac:dyDescent="0.25">
      <c r="A57" s="1">
        <v>40451</v>
      </c>
      <c r="B57" s="1">
        <v>41912</v>
      </c>
      <c r="C57">
        <v>16</v>
      </c>
      <c r="D57">
        <v>8179.6316809999998</v>
      </c>
      <c r="E57">
        <v>24954.4902</v>
      </c>
      <c r="F57" s="1" t="str">
        <f t="shared" si="0"/>
        <v>201009</v>
      </c>
    </row>
    <row r="58" spans="1:6" x14ac:dyDescent="0.25">
      <c r="A58" s="1">
        <v>40451</v>
      </c>
      <c r="B58" s="1">
        <v>42004</v>
      </c>
      <c r="C58">
        <v>17</v>
      </c>
      <c r="D58">
        <v>7820.8819219999996</v>
      </c>
      <c r="E58">
        <v>24954.4902</v>
      </c>
      <c r="F58" s="1" t="str">
        <f t="shared" si="0"/>
        <v>201009</v>
      </c>
    </row>
    <row r="59" spans="1:6" x14ac:dyDescent="0.25">
      <c r="A59" s="1">
        <v>40543</v>
      </c>
      <c r="B59" s="1">
        <v>40543</v>
      </c>
      <c r="C59">
        <v>0</v>
      </c>
      <c r="D59">
        <v>3664.5859460000001</v>
      </c>
      <c r="E59">
        <v>24478.190200000001</v>
      </c>
      <c r="F59" s="1" t="str">
        <f t="shared" si="0"/>
        <v>201012</v>
      </c>
    </row>
    <row r="60" spans="1:6" x14ac:dyDescent="0.25">
      <c r="A60" s="1">
        <v>40543</v>
      </c>
      <c r="B60" s="1">
        <v>40633</v>
      </c>
      <c r="C60">
        <v>1</v>
      </c>
      <c r="D60">
        <v>6028.3305490000002</v>
      </c>
      <c r="E60">
        <v>24478.190200000001</v>
      </c>
      <c r="F60" s="1" t="str">
        <f t="shared" si="0"/>
        <v>201012</v>
      </c>
    </row>
    <row r="61" spans="1:6" x14ac:dyDescent="0.25">
      <c r="A61" s="1">
        <v>40543</v>
      </c>
      <c r="B61" s="1">
        <v>40724</v>
      </c>
      <c r="C61">
        <v>2</v>
      </c>
      <c r="D61">
        <v>5679.3345429999999</v>
      </c>
      <c r="E61">
        <v>24478.190200000001</v>
      </c>
      <c r="F61" s="1" t="str">
        <f t="shared" si="0"/>
        <v>201012</v>
      </c>
    </row>
    <row r="62" spans="1:6" x14ac:dyDescent="0.25">
      <c r="A62" s="1">
        <v>40543</v>
      </c>
      <c r="B62" s="1">
        <v>40816</v>
      </c>
      <c r="C62">
        <v>3</v>
      </c>
      <c r="D62">
        <v>5792.7756829999998</v>
      </c>
      <c r="E62">
        <v>24478.190200000001</v>
      </c>
      <c r="F62" s="1" t="str">
        <f t="shared" si="0"/>
        <v>201012</v>
      </c>
    </row>
    <row r="63" spans="1:6" x14ac:dyDescent="0.25">
      <c r="A63" s="1">
        <v>40543</v>
      </c>
      <c r="B63" s="1">
        <v>40908</v>
      </c>
      <c r="C63">
        <v>4</v>
      </c>
      <c r="D63">
        <v>5157.6657290000003</v>
      </c>
      <c r="E63">
        <v>24478.190200000001</v>
      </c>
      <c r="F63" s="1" t="str">
        <f t="shared" si="0"/>
        <v>201012</v>
      </c>
    </row>
    <row r="64" spans="1:6" x14ac:dyDescent="0.25">
      <c r="A64" s="1">
        <v>40543</v>
      </c>
      <c r="B64" s="1">
        <v>40999</v>
      </c>
      <c r="C64">
        <v>5</v>
      </c>
      <c r="D64">
        <v>5202.5864680000004</v>
      </c>
      <c r="E64">
        <v>24478.190200000001</v>
      </c>
      <c r="F64" s="1" t="str">
        <f t="shared" si="0"/>
        <v>201012</v>
      </c>
    </row>
    <row r="65" spans="1:6" x14ac:dyDescent="0.25">
      <c r="A65" s="1">
        <v>40543</v>
      </c>
      <c r="B65" s="1">
        <v>41090</v>
      </c>
      <c r="C65">
        <v>6</v>
      </c>
      <c r="D65">
        <v>4824.1083200000003</v>
      </c>
      <c r="E65">
        <v>24478.190200000001</v>
      </c>
      <c r="F65" s="1" t="str">
        <f t="shared" si="0"/>
        <v>201012</v>
      </c>
    </row>
    <row r="66" spans="1:6" x14ac:dyDescent="0.25">
      <c r="A66" s="1">
        <v>40543</v>
      </c>
      <c r="B66" s="1">
        <v>41182</v>
      </c>
      <c r="C66">
        <v>7</v>
      </c>
      <c r="D66">
        <v>4749.066041</v>
      </c>
      <c r="E66">
        <v>24478.190200000001</v>
      </c>
      <c r="F66" s="1" t="str">
        <f t="shared" si="0"/>
        <v>201012</v>
      </c>
    </row>
    <row r="67" spans="1:6" x14ac:dyDescent="0.25">
      <c r="A67" s="1">
        <v>40543</v>
      </c>
      <c r="B67" s="1">
        <v>41274</v>
      </c>
      <c r="C67">
        <v>8</v>
      </c>
      <c r="D67">
        <v>5152.469153</v>
      </c>
      <c r="E67">
        <v>24478.190200000001</v>
      </c>
      <c r="F67" s="1" t="str">
        <f t="shared" ref="F67:F130" si="1">YEAR(A67)&amp;IF(LEN(MONTH(A67))=1,"0"&amp;MONTH(A67),MONTH(A67))</f>
        <v>201012</v>
      </c>
    </row>
    <row r="68" spans="1:6" x14ac:dyDescent="0.25">
      <c r="A68" s="1">
        <v>40543</v>
      </c>
      <c r="B68" s="1">
        <v>41364</v>
      </c>
      <c r="C68">
        <v>9</v>
      </c>
      <c r="D68">
        <v>5240.3924310000002</v>
      </c>
      <c r="E68">
        <v>24478.190200000001</v>
      </c>
      <c r="F68" s="1" t="str">
        <f t="shared" si="1"/>
        <v>201012</v>
      </c>
    </row>
    <row r="69" spans="1:6" x14ac:dyDescent="0.25">
      <c r="A69" s="1">
        <v>40543</v>
      </c>
      <c r="B69" s="1">
        <v>41455</v>
      </c>
      <c r="C69">
        <v>10</v>
      </c>
      <c r="D69">
        <v>5260.8299720000005</v>
      </c>
      <c r="E69">
        <v>24478.190200000001</v>
      </c>
      <c r="F69" s="1" t="str">
        <f t="shared" si="1"/>
        <v>201012</v>
      </c>
    </row>
    <row r="70" spans="1:6" x14ac:dyDescent="0.25">
      <c r="A70" s="1">
        <v>40543</v>
      </c>
      <c r="B70" s="1">
        <v>41547</v>
      </c>
      <c r="C70">
        <v>11</v>
      </c>
      <c r="D70">
        <v>5360.6228339999998</v>
      </c>
      <c r="E70">
        <v>24478.190200000001</v>
      </c>
      <c r="F70" s="1" t="str">
        <f t="shared" si="1"/>
        <v>201012</v>
      </c>
    </row>
    <row r="71" spans="1:6" x14ac:dyDescent="0.25">
      <c r="A71" s="1">
        <v>40543</v>
      </c>
      <c r="B71" s="1">
        <v>41639</v>
      </c>
      <c r="C71">
        <v>12</v>
      </c>
      <c r="D71">
        <v>5261.9111380000004</v>
      </c>
      <c r="E71">
        <v>24478.190200000001</v>
      </c>
      <c r="F71" s="1" t="str">
        <f t="shared" si="1"/>
        <v>201012</v>
      </c>
    </row>
    <row r="72" spans="1:6" x14ac:dyDescent="0.25">
      <c r="A72" s="1">
        <v>40543</v>
      </c>
      <c r="B72" s="1">
        <v>41729</v>
      </c>
      <c r="C72">
        <v>13</v>
      </c>
      <c r="D72">
        <v>5605.5826889999998</v>
      </c>
      <c r="E72">
        <v>24478.190200000001</v>
      </c>
      <c r="F72" s="1" t="str">
        <f t="shared" si="1"/>
        <v>201012</v>
      </c>
    </row>
    <row r="73" spans="1:6" x14ac:dyDescent="0.25">
      <c r="A73" s="1">
        <v>40543</v>
      </c>
      <c r="B73" s="1">
        <v>41820</v>
      </c>
      <c r="C73">
        <v>14</v>
      </c>
      <c r="D73">
        <v>5472.9246800000001</v>
      </c>
      <c r="E73">
        <v>24478.190200000001</v>
      </c>
      <c r="F73" s="1" t="str">
        <f t="shared" si="1"/>
        <v>201012</v>
      </c>
    </row>
    <row r="74" spans="1:6" x14ac:dyDescent="0.25">
      <c r="A74" s="1">
        <v>40543</v>
      </c>
      <c r="B74" s="1">
        <v>41912</v>
      </c>
      <c r="C74">
        <v>15</v>
      </c>
      <c r="D74">
        <v>5358.541878</v>
      </c>
      <c r="E74">
        <v>24478.190200000001</v>
      </c>
      <c r="F74" s="1" t="str">
        <f t="shared" si="1"/>
        <v>201012</v>
      </c>
    </row>
    <row r="75" spans="1:6" x14ac:dyDescent="0.25">
      <c r="A75" s="1">
        <v>40543</v>
      </c>
      <c r="B75" s="1">
        <v>42004</v>
      </c>
      <c r="C75">
        <v>16</v>
      </c>
      <c r="D75">
        <v>6050.6862890000002</v>
      </c>
      <c r="E75">
        <v>24478.190200000001</v>
      </c>
      <c r="F75" s="1" t="str">
        <f t="shared" si="1"/>
        <v>201012</v>
      </c>
    </row>
    <row r="76" spans="1:6" x14ac:dyDescent="0.25">
      <c r="A76" s="1">
        <v>40633</v>
      </c>
      <c r="B76" s="1">
        <v>40633</v>
      </c>
      <c r="C76">
        <v>0</v>
      </c>
      <c r="D76">
        <v>3685.2443709999998</v>
      </c>
      <c r="E76">
        <v>23899.440200000001</v>
      </c>
      <c r="F76" s="1" t="str">
        <f t="shared" si="1"/>
        <v>201103</v>
      </c>
    </row>
    <row r="77" spans="1:6" x14ac:dyDescent="0.25">
      <c r="A77" s="1">
        <v>40633</v>
      </c>
      <c r="B77" s="1">
        <v>40724</v>
      </c>
      <c r="C77">
        <v>1</v>
      </c>
      <c r="D77">
        <v>6009.2299350000003</v>
      </c>
      <c r="E77">
        <v>23899.440200000001</v>
      </c>
      <c r="F77" s="1" t="str">
        <f t="shared" si="1"/>
        <v>201103</v>
      </c>
    </row>
    <row r="78" spans="1:6" x14ac:dyDescent="0.25">
      <c r="A78" s="1">
        <v>40633</v>
      </c>
      <c r="B78" s="1">
        <v>40816</v>
      </c>
      <c r="C78">
        <v>2</v>
      </c>
      <c r="D78">
        <v>6655.2096849999998</v>
      </c>
      <c r="E78">
        <v>23899.440200000001</v>
      </c>
      <c r="F78" s="1" t="str">
        <f t="shared" si="1"/>
        <v>201103</v>
      </c>
    </row>
    <row r="79" spans="1:6" x14ac:dyDescent="0.25">
      <c r="A79" s="1">
        <v>40633</v>
      </c>
      <c r="B79" s="1">
        <v>40908</v>
      </c>
      <c r="C79">
        <v>3</v>
      </c>
      <c r="D79">
        <v>5535.0627100000002</v>
      </c>
      <c r="E79">
        <v>23899.440200000001</v>
      </c>
      <c r="F79" s="1" t="str">
        <f t="shared" si="1"/>
        <v>201103</v>
      </c>
    </row>
    <row r="80" spans="1:6" x14ac:dyDescent="0.25">
      <c r="A80" s="1">
        <v>40633</v>
      </c>
      <c r="B80" s="1">
        <v>40999</v>
      </c>
      <c r="C80">
        <v>4</v>
      </c>
      <c r="D80">
        <v>6291.728368</v>
      </c>
      <c r="E80">
        <v>23899.440200000001</v>
      </c>
      <c r="F80" s="1" t="str">
        <f t="shared" si="1"/>
        <v>201103</v>
      </c>
    </row>
    <row r="81" spans="1:6" x14ac:dyDescent="0.25">
      <c r="A81" s="1">
        <v>40633</v>
      </c>
      <c r="B81" s="1">
        <v>41090</v>
      </c>
      <c r="C81">
        <v>5</v>
      </c>
      <c r="D81">
        <v>6971.8869400000003</v>
      </c>
      <c r="E81">
        <v>23899.440200000001</v>
      </c>
      <c r="F81" s="1" t="str">
        <f t="shared" si="1"/>
        <v>201103</v>
      </c>
    </row>
    <row r="82" spans="1:6" x14ac:dyDescent="0.25">
      <c r="A82" s="1">
        <v>40633</v>
      </c>
      <c r="B82" s="1">
        <v>41182</v>
      </c>
      <c r="C82">
        <v>6</v>
      </c>
      <c r="D82">
        <v>6792.6806299999998</v>
      </c>
      <c r="E82">
        <v>23899.440200000001</v>
      </c>
      <c r="F82" s="1" t="str">
        <f t="shared" si="1"/>
        <v>201103</v>
      </c>
    </row>
    <row r="83" spans="1:6" x14ac:dyDescent="0.25">
      <c r="A83" s="1">
        <v>40633</v>
      </c>
      <c r="B83" s="1">
        <v>41274</v>
      </c>
      <c r="C83">
        <v>7</v>
      </c>
      <c r="D83">
        <v>6362.0158380000003</v>
      </c>
      <c r="E83">
        <v>23899.440200000001</v>
      </c>
      <c r="F83" s="1" t="str">
        <f t="shared" si="1"/>
        <v>201103</v>
      </c>
    </row>
    <row r="84" spans="1:6" x14ac:dyDescent="0.25">
      <c r="A84" s="1">
        <v>40633</v>
      </c>
      <c r="B84" s="1">
        <v>41364</v>
      </c>
      <c r="C84">
        <v>8</v>
      </c>
      <c r="D84">
        <v>6510.1240699999998</v>
      </c>
      <c r="E84">
        <v>23899.440200000001</v>
      </c>
      <c r="F84" s="1" t="str">
        <f t="shared" si="1"/>
        <v>201103</v>
      </c>
    </row>
    <row r="85" spans="1:6" x14ac:dyDescent="0.25">
      <c r="A85" s="1">
        <v>40633</v>
      </c>
      <c r="B85" s="1">
        <v>41455</v>
      </c>
      <c r="C85">
        <v>9</v>
      </c>
      <c r="D85">
        <v>6456.6586260000004</v>
      </c>
      <c r="E85">
        <v>23899.440200000001</v>
      </c>
      <c r="F85" s="1" t="str">
        <f t="shared" si="1"/>
        <v>201103</v>
      </c>
    </row>
    <row r="86" spans="1:6" x14ac:dyDescent="0.25">
      <c r="A86" s="1">
        <v>40633</v>
      </c>
      <c r="B86" s="1">
        <v>41547</v>
      </c>
      <c r="C86">
        <v>10</v>
      </c>
      <c r="D86">
        <v>6734.0302350000002</v>
      </c>
      <c r="E86">
        <v>23899.440200000001</v>
      </c>
      <c r="F86" s="1" t="str">
        <f t="shared" si="1"/>
        <v>201103</v>
      </c>
    </row>
    <row r="87" spans="1:6" x14ac:dyDescent="0.25">
      <c r="A87" s="1">
        <v>40633</v>
      </c>
      <c r="B87" s="1">
        <v>41639</v>
      </c>
      <c r="C87">
        <v>11</v>
      </c>
      <c r="D87">
        <v>6836.1481869999998</v>
      </c>
      <c r="E87">
        <v>23899.440200000001</v>
      </c>
      <c r="F87" s="1" t="str">
        <f t="shared" si="1"/>
        <v>201103</v>
      </c>
    </row>
    <row r="88" spans="1:6" x14ac:dyDescent="0.25">
      <c r="A88" s="1">
        <v>40633</v>
      </c>
      <c r="B88" s="1">
        <v>41729</v>
      </c>
      <c r="C88">
        <v>12</v>
      </c>
      <c r="D88">
        <v>7816.8827670000001</v>
      </c>
      <c r="E88">
        <v>23899.440200000001</v>
      </c>
      <c r="F88" s="1" t="str">
        <f t="shared" si="1"/>
        <v>201103</v>
      </c>
    </row>
    <row r="89" spans="1:6" x14ac:dyDescent="0.25">
      <c r="A89" s="1">
        <v>40633</v>
      </c>
      <c r="B89" s="1">
        <v>41820</v>
      </c>
      <c r="C89">
        <v>13</v>
      </c>
      <c r="D89">
        <v>8117.4936509999998</v>
      </c>
      <c r="E89">
        <v>23899.440200000001</v>
      </c>
      <c r="F89" s="1" t="str">
        <f t="shared" si="1"/>
        <v>201103</v>
      </c>
    </row>
    <row r="90" spans="1:6" x14ac:dyDescent="0.25">
      <c r="A90" s="1">
        <v>40633</v>
      </c>
      <c r="B90" s="1">
        <v>41912</v>
      </c>
      <c r="C90">
        <v>14</v>
      </c>
      <c r="D90">
        <v>8601.7168899999997</v>
      </c>
      <c r="E90">
        <v>23899.440200000001</v>
      </c>
      <c r="F90" s="1" t="str">
        <f t="shared" si="1"/>
        <v>201103</v>
      </c>
    </row>
    <row r="91" spans="1:6" x14ac:dyDescent="0.25">
      <c r="A91" s="1">
        <v>40633</v>
      </c>
      <c r="B91" s="1">
        <v>42004</v>
      </c>
      <c r="C91">
        <v>15</v>
      </c>
      <c r="D91">
        <v>8508.0506409999998</v>
      </c>
      <c r="E91">
        <v>23899.440200000001</v>
      </c>
      <c r="F91" s="1" t="str">
        <f t="shared" si="1"/>
        <v>201103</v>
      </c>
    </row>
    <row r="92" spans="1:6" x14ac:dyDescent="0.25">
      <c r="A92" s="1">
        <v>40724</v>
      </c>
      <c r="B92" s="1">
        <v>40724</v>
      </c>
      <c r="C92">
        <v>0</v>
      </c>
      <c r="D92">
        <v>5623.5091320000001</v>
      </c>
      <c r="E92">
        <v>21730.250199999999</v>
      </c>
      <c r="F92" s="1" t="str">
        <f t="shared" si="1"/>
        <v>201106</v>
      </c>
    </row>
    <row r="93" spans="1:6" x14ac:dyDescent="0.25">
      <c r="A93" s="1">
        <v>40724</v>
      </c>
      <c r="B93" s="1">
        <v>40816</v>
      </c>
      <c r="C93">
        <v>1</v>
      </c>
      <c r="D93">
        <v>9330.1908330000006</v>
      </c>
      <c r="E93">
        <v>21730.250199999999</v>
      </c>
      <c r="F93" s="1" t="str">
        <f t="shared" si="1"/>
        <v>201106</v>
      </c>
    </row>
    <row r="94" spans="1:6" x14ac:dyDescent="0.25">
      <c r="A94" s="1">
        <v>40724</v>
      </c>
      <c r="B94" s="1">
        <v>40908</v>
      </c>
      <c r="C94">
        <v>2</v>
      </c>
      <c r="D94">
        <v>8640.3133839999991</v>
      </c>
      <c r="E94">
        <v>21730.250199999999</v>
      </c>
      <c r="F94" s="1" t="str">
        <f t="shared" si="1"/>
        <v>201106</v>
      </c>
    </row>
    <row r="95" spans="1:6" x14ac:dyDescent="0.25">
      <c r="A95" s="1">
        <v>40724</v>
      </c>
      <c r="B95" s="1">
        <v>40999</v>
      </c>
      <c r="C95">
        <v>3</v>
      </c>
      <c r="D95">
        <v>7675.8079319999997</v>
      </c>
      <c r="E95">
        <v>21730.250199999999</v>
      </c>
      <c r="F95" s="1" t="str">
        <f t="shared" si="1"/>
        <v>201106</v>
      </c>
    </row>
    <row r="96" spans="1:6" x14ac:dyDescent="0.25">
      <c r="A96" s="1">
        <v>40724</v>
      </c>
      <c r="B96" s="1">
        <v>41090</v>
      </c>
      <c r="C96">
        <v>4</v>
      </c>
      <c r="D96">
        <v>7066.0647099999996</v>
      </c>
      <c r="E96">
        <v>21730.250199999999</v>
      </c>
      <c r="F96" s="1" t="str">
        <f t="shared" si="1"/>
        <v>201106</v>
      </c>
    </row>
    <row r="97" spans="1:6" x14ac:dyDescent="0.25">
      <c r="A97" s="1">
        <v>40724</v>
      </c>
      <c r="B97" s="1">
        <v>41182</v>
      </c>
      <c r="C97">
        <v>5</v>
      </c>
      <c r="D97">
        <v>6535.0257840000004</v>
      </c>
      <c r="E97">
        <v>21730.250199999999</v>
      </c>
      <c r="F97" s="1" t="str">
        <f t="shared" si="1"/>
        <v>201106</v>
      </c>
    </row>
    <row r="98" spans="1:6" x14ac:dyDescent="0.25">
      <c r="A98" s="1">
        <v>40724</v>
      </c>
      <c r="B98" s="1">
        <v>41274</v>
      </c>
      <c r="C98">
        <v>6</v>
      </c>
      <c r="D98">
        <v>7004.2986950000004</v>
      </c>
      <c r="E98">
        <v>21730.250199999999</v>
      </c>
      <c r="F98" s="1" t="str">
        <f t="shared" si="1"/>
        <v>201106</v>
      </c>
    </row>
    <row r="99" spans="1:6" x14ac:dyDescent="0.25">
      <c r="A99" s="1">
        <v>40724</v>
      </c>
      <c r="B99" s="1">
        <v>41364</v>
      </c>
      <c r="C99">
        <v>7</v>
      </c>
      <c r="D99">
        <v>6964.6442850000003</v>
      </c>
      <c r="E99">
        <v>21730.250199999999</v>
      </c>
      <c r="F99" s="1" t="str">
        <f t="shared" si="1"/>
        <v>201106</v>
      </c>
    </row>
    <row r="100" spans="1:6" x14ac:dyDescent="0.25">
      <c r="A100" s="1">
        <v>40724</v>
      </c>
      <c r="B100" s="1">
        <v>41455</v>
      </c>
      <c r="C100">
        <v>8</v>
      </c>
      <c r="D100">
        <v>7006.5772829999996</v>
      </c>
      <c r="E100">
        <v>21730.250199999999</v>
      </c>
      <c r="F100" s="1" t="str">
        <f t="shared" si="1"/>
        <v>201106</v>
      </c>
    </row>
    <row r="101" spans="1:6" x14ac:dyDescent="0.25">
      <c r="A101" s="1">
        <v>40724</v>
      </c>
      <c r="B101" s="1">
        <v>41547</v>
      </c>
      <c r="C101">
        <v>9</v>
      </c>
      <c r="D101">
        <v>7243.7480859999996</v>
      </c>
      <c r="E101">
        <v>21730.250199999999</v>
      </c>
      <c r="F101" s="1" t="str">
        <f t="shared" si="1"/>
        <v>201106</v>
      </c>
    </row>
    <row r="102" spans="1:6" x14ac:dyDescent="0.25">
      <c r="A102" s="1">
        <v>40724</v>
      </c>
      <c r="B102" s="1">
        <v>41639</v>
      </c>
      <c r="C102">
        <v>10</v>
      </c>
      <c r="D102">
        <v>7123.773443</v>
      </c>
      <c r="E102">
        <v>21730.250199999999</v>
      </c>
      <c r="F102" s="1" t="str">
        <f t="shared" si="1"/>
        <v>201106</v>
      </c>
    </row>
    <row r="103" spans="1:6" x14ac:dyDescent="0.25">
      <c r="A103" s="1">
        <v>40724</v>
      </c>
      <c r="B103" s="1">
        <v>41729</v>
      </c>
      <c r="C103">
        <v>11</v>
      </c>
      <c r="D103">
        <v>7118.9605069999998</v>
      </c>
      <c r="E103">
        <v>21730.250199999999</v>
      </c>
      <c r="F103" s="1" t="str">
        <f t="shared" si="1"/>
        <v>201106</v>
      </c>
    </row>
    <row r="104" spans="1:6" x14ac:dyDescent="0.25">
      <c r="A104" s="1">
        <v>40724</v>
      </c>
      <c r="B104" s="1">
        <v>41820</v>
      </c>
      <c r="C104">
        <v>12</v>
      </c>
      <c r="D104">
        <v>7294.0746589999999</v>
      </c>
      <c r="E104">
        <v>21730.250199999999</v>
      </c>
      <c r="F104" s="1" t="str">
        <f t="shared" si="1"/>
        <v>201106</v>
      </c>
    </row>
    <row r="105" spans="1:6" x14ac:dyDescent="0.25">
      <c r="A105" s="1">
        <v>40724</v>
      </c>
      <c r="B105" s="1">
        <v>41912</v>
      </c>
      <c r="C105">
        <v>13</v>
      </c>
      <c r="D105">
        <v>7250.9791160000004</v>
      </c>
      <c r="E105">
        <v>21730.250199999999</v>
      </c>
      <c r="F105" s="1" t="str">
        <f t="shared" si="1"/>
        <v>201106</v>
      </c>
    </row>
    <row r="106" spans="1:6" x14ac:dyDescent="0.25">
      <c r="A106" s="1">
        <v>40724</v>
      </c>
      <c r="B106" s="1">
        <v>42004</v>
      </c>
      <c r="C106">
        <v>14</v>
      </c>
      <c r="D106">
        <v>6981.2221769999996</v>
      </c>
      <c r="E106">
        <v>21730.250199999999</v>
      </c>
      <c r="F106" s="1" t="str">
        <f t="shared" si="1"/>
        <v>201106</v>
      </c>
    </row>
    <row r="107" spans="1:6" x14ac:dyDescent="0.25">
      <c r="A107" s="1">
        <v>40816</v>
      </c>
      <c r="B107" s="1">
        <v>40816</v>
      </c>
      <c r="C107">
        <v>0</v>
      </c>
      <c r="D107">
        <v>6359.5279920000003</v>
      </c>
      <c r="E107">
        <v>15231.760200000001</v>
      </c>
      <c r="F107" s="1" t="str">
        <f t="shared" si="1"/>
        <v>201109</v>
      </c>
    </row>
    <row r="108" spans="1:6" x14ac:dyDescent="0.25">
      <c r="A108" s="1">
        <v>40816</v>
      </c>
      <c r="B108" s="1">
        <v>40908</v>
      </c>
      <c r="C108">
        <v>1</v>
      </c>
      <c r="D108">
        <v>8484.6951119999994</v>
      </c>
      <c r="E108">
        <v>15231.760200000001</v>
      </c>
      <c r="F108" s="1" t="str">
        <f t="shared" si="1"/>
        <v>201109</v>
      </c>
    </row>
    <row r="109" spans="1:6" x14ac:dyDescent="0.25">
      <c r="A109" s="1">
        <v>40816</v>
      </c>
      <c r="B109" s="1">
        <v>40999</v>
      </c>
      <c r="C109">
        <v>2</v>
      </c>
      <c r="D109">
        <v>9147.1946260000004</v>
      </c>
      <c r="E109">
        <v>15231.760200000001</v>
      </c>
      <c r="F109" s="1" t="str">
        <f t="shared" si="1"/>
        <v>201109</v>
      </c>
    </row>
    <row r="110" spans="1:6" x14ac:dyDescent="0.25">
      <c r="A110" s="1">
        <v>40816</v>
      </c>
      <c r="B110" s="1">
        <v>41090</v>
      </c>
      <c r="C110">
        <v>3</v>
      </c>
      <c r="D110">
        <v>6628.1572630000001</v>
      </c>
      <c r="E110">
        <v>15231.760200000001</v>
      </c>
      <c r="F110" s="1" t="str">
        <f t="shared" si="1"/>
        <v>201109</v>
      </c>
    </row>
    <row r="111" spans="1:6" x14ac:dyDescent="0.25">
      <c r="A111" s="1">
        <v>40816</v>
      </c>
      <c r="B111" s="1">
        <v>41182</v>
      </c>
      <c r="C111">
        <v>4</v>
      </c>
      <c r="D111">
        <v>6883.1382560000002</v>
      </c>
      <c r="E111">
        <v>15231.760200000001</v>
      </c>
      <c r="F111" s="1" t="str">
        <f t="shared" si="1"/>
        <v>201109</v>
      </c>
    </row>
    <row r="112" spans="1:6" x14ac:dyDescent="0.25">
      <c r="A112" s="1">
        <v>40816</v>
      </c>
      <c r="B112" s="1">
        <v>41274</v>
      </c>
      <c r="C112">
        <v>5</v>
      </c>
      <c r="D112">
        <v>6989.9063880000003</v>
      </c>
      <c r="E112">
        <v>15231.760200000001</v>
      </c>
      <c r="F112" s="1" t="str">
        <f t="shared" si="1"/>
        <v>201109</v>
      </c>
    </row>
    <row r="113" spans="1:6" x14ac:dyDescent="0.25">
      <c r="A113" s="1">
        <v>40816</v>
      </c>
      <c r="B113" s="1">
        <v>41364</v>
      </c>
      <c r="C113">
        <v>6</v>
      </c>
      <c r="D113">
        <v>7416.5836499999996</v>
      </c>
      <c r="E113">
        <v>15231.760200000001</v>
      </c>
      <c r="F113" s="1" t="str">
        <f t="shared" si="1"/>
        <v>201109</v>
      </c>
    </row>
    <row r="114" spans="1:6" x14ac:dyDescent="0.25">
      <c r="A114" s="1">
        <v>40816</v>
      </c>
      <c r="B114" s="1">
        <v>41455</v>
      </c>
      <c r="C114">
        <v>7</v>
      </c>
      <c r="D114">
        <v>7768.2186339999998</v>
      </c>
      <c r="E114">
        <v>15231.760200000001</v>
      </c>
      <c r="F114" s="1" t="str">
        <f t="shared" si="1"/>
        <v>201109</v>
      </c>
    </row>
    <row r="115" spans="1:6" x14ac:dyDescent="0.25">
      <c r="A115" s="1">
        <v>40816</v>
      </c>
      <c r="B115" s="1">
        <v>41547</v>
      </c>
      <c r="C115">
        <v>8</v>
      </c>
      <c r="D115">
        <v>8116.9356289999996</v>
      </c>
      <c r="E115">
        <v>15231.760200000001</v>
      </c>
      <c r="F115" s="1" t="str">
        <f t="shared" si="1"/>
        <v>201109</v>
      </c>
    </row>
    <row r="116" spans="1:6" x14ac:dyDescent="0.25">
      <c r="A116" s="1">
        <v>40816</v>
      </c>
      <c r="B116" s="1">
        <v>41639</v>
      </c>
      <c r="C116">
        <v>9</v>
      </c>
      <c r="D116">
        <v>7775.4961649999996</v>
      </c>
      <c r="E116">
        <v>15231.760200000001</v>
      </c>
      <c r="F116" s="1" t="str">
        <f t="shared" si="1"/>
        <v>201109</v>
      </c>
    </row>
    <row r="117" spans="1:6" x14ac:dyDescent="0.25">
      <c r="A117" s="1">
        <v>40816</v>
      </c>
      <c r="B117" s="1">
        <v>41729</v>
      </c>
      <c r="C117">
        <v>10</v>
      </c>
      <c r="D117">
        <v>7907.968167</v>
      </c>
      <c r="E117">
        <v>15231.760200000001</v>
      </c>
      <c r="F117" s="1" t="str">
        <f t="shared" si="1"/>
        <v>201109</v>
      </c>
    </row>
    <row r="118" spans="1:6" x14ac:dyDescent="0.25">
      <c r="A118" s="1">
        <v>40816</v>
      </c>
      <c r="B118" s="1">
        <v>41820</v>
      </c>
      <c r="C118">
        <v>11</v>
      </c>
      <c r="D118">
        <v>7946.1926460000004</v>
      </c>
      <c r="E118">
        <v>15231.760200000001</v>
      </c>
      <c r="F118" s="1" t="str">
        <f t="shared" si="1"/>
        <v>201109</v>
      </c>
    </row>
    <row r="119" spans="1:6" x14ac:dyDescent="0.25">
      <c r="A119" s="1">
        <v>40816</v>
      </c>
      <c r="B119" s="1">
        <v>41912</v>
      </c>
      <c r="C119">
        <v>12</v>
      </c>
      <c r="D119">
        <v>7905.0850559999999</v>
      </c>
      <c r="E119">
        <v>15231.760200000001</v>
      </c>
      <c r="F119" s="1" t="str">
        <f t="shared" si="1"/>
        <v>201109</v>
      </c>
    </row>
    <row r="120" spans="1:6" x14ac:dyDescent="0.25">
      <c r="A120" s="1">
        <v>40816</v>
      </c>
      <c r="B120" s="1">
        <v>42004</v>
      </c>
      <c r="C120">
        <v>13</v>
      </c>
      <c r="D120">
        <v>7503.6233940000002</v>
      </c>
      <c r="E120">
        <v>15231.760200000001</v>
      </c>
      <c r="F120" s="1" t="str">
        <f t="shared" si="1"/>
        <v>201109</v>
      </c>
    </row>
    <row r="121" spans="1:6" x14ac:dyDescent="0.25">
      <c r="A121" s="1">
        <v>40908</v>
      </c>
      <c r="B121" s="1">
        <v>40908</v>
      </c>
      <c r="C121">
        <v>0</v>
      </c>
      <c r="D121">
        <v>3654.8670699999998</v>
      </c>
      <c r="E121">
        <v>11990.020200000001</v>
      </c>
      <c r="F121" s="1" t="str">
        <f t="shared" si="1"/>
        <v>201112</v>
      </c>
    </row>
    <row r="122" spans="1:6" x14ac:dyDescent="0.25">
      <c r="A122" s="1">
        <v>40908</v>
      </c>
      <c r="B122" s="1">
        <v>40999</v>
      </c>
      <c r="C122">
        <v>1</v>
      </c>
      <c r="D122">
        <v>4337.5018630000004</v>
      </c>
      <c r="E122">
        <v>11990.020200000001</v>
      </c>
      <c r="F122" s="1" t="str">
        <f t="shared" si="1"/>
        <v>201112</v>
      </c>
    </row>
    <row r="123" spans="1:6" x14ac:dyDescent="0.25">
      <c r="A123" s="1">
        <v>40908</v>
      </c>
      <c r="B123" s="1">
        <v>41090</v>
      </c>
      <c r="C123">
        <v>2</v>
      </c>
      <c r="D123">
        <v>3999.7592930000001</v>
      </c>
      <c r="E123">
        <v>11990.020200000001</v>
      </c>
      <c r="F123" s="1" t="str">
        <f t="shared" si="1"/>
        <v>201112</v>
      </c>
    </row>
    <row r="124" spans="1:6" x14ac:dyDescent="0.25">
      <c r="A124" s="1">
        <v>40908</v>
      </c>
      <c r="B124" s="1">
        <v>41182</v>
      </c>
      <c r="C124">
        <v>3</v>
      </c>
      <c r="D124">
        <v>4567.8485280000004</v>
      </c>
      <c r="E124">
        <v>11990.020200000001</v>
      </c>
      <c r="F124" s="1" t="str">
        <f t="shared" si="1"/>
        <v>201112</v>
      </c>
    </row>
    <row r="125" spans="1:6" x14ac:dyDescent="0.25">
      <c r="A125" s="1">
        <v>40908</v>
      </c>
      <c r="B125" s="1">
        <v>41274</v>
      </c>
      <c r="C125">
        <v>4</v>
      </c>
      <c r="D125">
        <v>6659.1623380000001</v>
      </c>
      <c r="E125">
        <v>11990.020200000001</v>
      </c>
      <c r="F125" s="1" t="str">
        <f t="shared" si="1"/>
        <v>201112</v>
      </c>
    </row>
    <row r="126" spans="1:6" x14ac:dyDescent="0.25">
      <c r="A126" s="1">
        <v>40908</v>
      </c>
      <c r="B126" s="1">
        <v>41364</v>
      </c>
      <c r="C126">
        <v>5</v>
      </c>
      <c r="D126">
        <v>6570.5066569999999</v>
      </c>
      <c r="E126">
        <v>11990.020200000001</v>
      </c>
      <c r="F126" s="1" t="str">
        <f t="shared" si="1"/>
        <v>201112</v>
      </c>
    </row>
    <row r="127" spans="1:6" x14ac:dyDescent="0.25">
      <c r="A127" s="1">
        <v>40908</v>
      </c>
      <c r="B127" s="1">
        <v>41455</v>
      </c>
      <c r="C127">
        <v>6</v>
      </c>
      <c r="D127">
        <v>6598.8960049999996</v>
      </c>
      <c r="E127">
        <v>11990.020200000001</v>
      </c>
      <c r="F127" s="1" t="str">
        <f t="shared" si="1"/>
        <v>201112</v>
      </c>
    </row>
    <row r="128" spans="1:6" x14ac:dyDescent="0.25">
      <c r="A128" s="1">
        <v>40908</v>
      </c>
      <c r="B128" s="1">
        <v>41547</v>
      </c>
      <c r="C128">
        <v>7</v>
      </c>
      <c r="D128">
        <v>6949.1940619999996</v>
      </c>
      <c r="E128">
        <v>11990.020200000001</v>
      </c>
      <c r="F128" s="1" t="str">
        <f t="shared" si="1"/>
        <v>201112</v>
      </c>
    </row>
    <row r="129" spans="1:6" x14ac:dyDescent="0.25">
      <c r="A129" s="1">
        <v>40908</v>
      </c>
      <c r="B129" s="1">
        <v>41639</v>
      </c>
      <c r="C129">
        <v>8</v>
      </c>
      <c r="D129">
        <v>7302.9913790000001</v>
      </c>
      <c r="E129">
        <v>11990.020200000001</v>
      </c>
      <c r="F129" s="1" t="str">
        <f t="shared" si="1"/>
        <v>201112</v>
      </c>
    </row>
    <row r="130" spans="1:6" x14ac:dyDescent="0.25">
      <c r="A130" s="1">
        <v>40908</v>
      </c>
      <c r="B130" s="1">
        <v>41729</v>
      </c>
      <c r="C130">
        <v>9</v>
      </c>
      <c r="D130">
        <v>7384.1137689999996</v>
      </c>
      <c r="E130">
        <v>11990.020200000001</v>
      </c>
      <c r="F130" s="1" t="str">
        <f t="shared" si="1"/>
        <v>201112</v>
      </c>
    </row>
    <row r="131" spans="1:6" x14ac:dyDescent="0.25">
      <c r="A131" s="1">
        <v>40908</v>
      </c>
      <c r="B131" s="1">
        <v>41820</v>
      </c>
      <c r="C131">
        <v>10</v>
      </c>
      <c r="D131">
        <v>8192.2917959999995</v>
      </c>
      <c r="E131">
        <v>11990.020200000001</v>
      </c>
      <c r="F131" s="1" t="str">
        <f t="shared" ref="F131:F194" si="2">YEAR(A131)&amp;IF(LEN(MONTH(A131))=1,"0"&amp;MONTH(A131),MONTH(A131))</f>
        <v>201112</v>
      </c>
    </row>
    <row r="132" spans="1:6" x14ac:dyDescent="0.25">
      <c r="A132" s="1">
        <v>40908</v>
      </c>
      <c r="B132" s="1">
        <v>41912</v>
      </c>
      <c r="C132">
        <v>11</v>
      </c>
      <c r="D132">
        <v>8634.6169140000002</v>
      </c>
      <c r="E132">
        <v>11990.020200000001</v>
      </c>
      <c r="F132" s="1" t="str">
        <f t="shared" si="2"/>
        <v>201112</v>
      </c>
    </row>
    <row r="133" spans="1:6" x14ac:dyDescent="0.25">
      <c r="A133" s="1">
        <v>40908</v>
      </c>
      <c r="B133" s="1">
        <v>42004</v>
      </c>
      <c r="C133">
        <v>12</v>
      </c>
      <c r="D133">
        <v>8644.1149060000007</v>
      </c>
      <c r="E133">
        <v>11990.020200000001</v>
      </c>
      <c r="F133" s="1" t="str">
        <f t="shared" si="2"/>
        <v>201112</v>
      </c>
    </row>
    <row r="134" spans="1:6" x14ac:dyDescent="0.25">
      <c r="A134" s="1">
        <v>40999</v>
      </c>
      <c r="B134" s="1">
        <v>40999</v>
      </c>
      <c r="C134">
        <v>0</v>
      </c>
      <c r="D134">
        <v>1202.8039240000001</v>
      </c>
      <c r="E134">
        <v>11731.1402</v>
      </c>
      <c r="F134" s="1" t="str">
        <f t="shared" si="2"/>
        <v>201203</v>
      </c>
    </row>
    <row r="135" spans="1:6" x14ac:dyDescent="0.25">
      <c r="A135" s="1">
        <v>40999</v>
      </c>
      <c r="B135" s="1">
        <v>41090</v>
      </c>
      <c r="C135">
        <v>1</v>
      </c>
      <c r="D135">
        <v>2897.1202450000001</v>
      </c>
      <c r="E135">
        <v>11731.1402</v>
      </c>
      <c r="F135" s="1" t="str">
        <f t="shared" si="2"/>
        <v>201203</v>
      </c>
    </row>
    <row r="136" spans="1:6" x14ac:dyDescent="0.25">
      <c r="A136" s="1">
        <v>40999</v>
      </c>
      <c r="B136" s="1">
        <v>41182</v>
      </c>
      <c r="C136">
        <v>2</v>
      </c>
      <c r="D136">
        <v>3288.5607690000002</v>
      </c>
      <c r="E136">
        <v>11731.1402</v>
      </c>
      <c r="F136" s="1" t="str">
        <f t="shared" si="2"/>
        <v>201203</v>
      </c>
    </row>
    <row r="137" spans="1:6" x14ac:dyDescent="0.25">
      <c r="A137" s="1">
        <v>40999</v>
      </c>
      <c r="B137" s="1">
        <v>41274</v>
      </c>
      <c r="C137">
        <v>3</v>
      </c>
      <c r="D137">
        <v>2418.3609670000001</v>
      </c>
      <c r="E137">
        <v>11731.1402</v>
      </c>
      <c r="F137" s="1" t="str">
        <f t="shared" si="2"/>
        <v>201203</v>
      </c>
    </row>
    <row r="138" spans="1:6" x14ac:dyDescent="0.25">
      <c r="A138" s="1">
        <v>40999</v>
      </c>
      <c r="B138" s="1">
        <v>41364</v>
      </c>
      <c r="C138">
        <v>4</v>
      </c>
      <c r="D138">
        <v>2197.3262880000002</v>
      </c>
      <c r="E138">
        <v>11731.1402</v>
      </c>
      <c r="F138" s="1" t="str">
        <f t="shared" si="2"/>
        <v>201203</v>
      </c>
    </row>
    <row r="139" spans="1:6" x14ac:dyDescent="0.25">
      <c r="A139" s="1">
        <v>40999</v>
      </c>
      <c r="B139" s="1">
        <v>41455</v>
      </c>
      <c r="C139">
        <v>5</v>
      </c>
      <c r="D139">
        <v>3144.428441</v>
      </c>
      <c r="E139">
        <v>11731.1402</v>
      </c>
      <c r="F139" s="1" t="str">
        <f t="shared" si="2"/>
        <v>201203</v>
      </c>
    </row>
    <row r="140" spans="1:6" x14ac:dyDescent="0.25">
      <c r="A140" s="1">
        <v>40999</v>
      </c>
      <c r="B140" s="1">
        <v>41547</v>
      </c>
      <c r="C140">
        <v>6</v>
      </c>
      <c r="D140">
        <v>3153.2289059999998</v>
      </c>
      <c r="E140">
        <v>11731.1402</v>
      </c>
      <c r="F140" s="1" t="str">
        <f t="shared" si="2"/>
        <v>201203</v>
      </c>
    </row>
    <row r="141" spans="1:6" x14ac:dyDescent="0.25">
      <c r="A141" s="1">
        <v>40999</v>
      </c>
      <c r="B141" s="1">
        <v>41639</v>
      </c>
      <c r="C141">
        <v>7</v>
      </c>
      <c r="D141">
        <v>3073.0714290000001</v>
      </c>
      <c r="E141">
        <v>11731.1402</v>
      </c>
      <c r="F141" s="1" t="str">
        <f t="shared" si="2"/>
        <v>201203</v>
      </c>
    </row>
    <row r="142" spans="1:6" x14ac:dyDescent="0.25">
      <c r="A142" s="1">
        <v>40999</v>
      </c>
      <c r="B142" s="1">
        <v>41729</v>
      </c>
      <c r="C142">
        <v>8</v>
      </c>
      <c r="D142">
        <v>3108.656931</v>
      </c>
      <c r="E142">
        <v>11731.1402</v>
      </c>
      <c r="F142" s="1" t="str">
        <f t="shared" si="2"/>
        <v>201203</v>
      </c>
    </row>
    <row r="143" spans="1:6" x14ac:dyDescent="0.25">
      <c r="A143" s="1">
        <v>40999</v>
      </c>
      <c r="B143" s="1">
        <v>41820</v>
      </c>
      <c r="C143">
        <v>9</v>
      </c>
      <c r="D143">
        <v>2366.9183509999998</v>
      </c>
      <c r="E143">
        <v>11731.1402</v>
      </c>
      <c r="F143" s="1" t="str">
        <f t="shared" si="2"/>
        <v>201203</v>
      </c>
    </row>
    <row r="144" spans="1:6" x14ac:dyDescent="0.25">
      <c r="A144" s="1">
        <v>40999</v>
      </c>
      <c r="B144" s="1">
        <v>41912</v>
      </c>
      <c r="C144">
        <v>10</v>
      </c>
      <c r="D144">
        <v>1991.5093220000001</v>
      </c>
      <c r="E144">
        <v>11731.1402</v>
      </c>
      <c r="F144" s="1" t="str">
        <f t="shared" si="2"/>
        <v>201203</v>
      </c>
    </row>
    <row r="145" spans="1:6" x14ac:dyDescent="0.25">
      <c r="A145" s="1">
        <v>40999</v>
      </c>
      <c r="B145" s="1">
        <v>42004</v>
      </c>
      <c r="C145">
        <v>11</v>
      </c>
      <c r="D145">
        <v>2082.8039800000001</v>
      </c>
      <c r="E145">
        <v>11731.1402</v>
      </c>
      <c r="F145" s="1" t="str">
        <f t="shared" si="2"/>
        <v>201203</v>
      </c>
    </row>
    <row r="146" spans="1:6" x14ac:dyDescent="0.25">
      <c r="A146" s="1">
        <v>41090</v>
      </c>
      <c r="B146" s="1">
        <v>41090</v>
      </c>
      <c r="C146">
        <v>0</v>
      </c>
      <c r="D146">
        <v>1110.2537170000001</v>
      </c>
      <c r="E146">
        <v>11502.870199999999</v>
      </c>
      <c r="F146" s="1" t="str">
        <f t="shared" si="2"/>
        <v>201206</v>
      </c>
    </row>
    <row r="147" spans="1:6" x14ac:dyDescent="0.25">
      <c r="A147" s="1">
        <v>41090</v>
      </c>
      <c r="B147" s="1">
        <v>41182</v>
      </c>
      <c r="C147">
        <v>1</v>
      </c>
      <c r="D147">
        <v>2110.9608199999998</v>
      </c>
      <c r="E147">
        <v>11502.870199999999</v>
      </c>
      <c r="F147" s="1" t="str">
        <f t="shared" si="2"/>
        <v>201206</v>
      </c>
    </row>
    <row r="148" spans="1:6" x14ac:dyDescent="0.25">
      <c r="A148" s="1">
        <v>41090</v>
      </c>
      <c r="B148" s="1">
        <v>41274</v>
      </c>
      <c r="C148">
        <v>2</v>
      </c>
      <c r="D148">
        <v>3328.017546</v>
      </c>
      <c r="E148">
        <v>11502.870199999999</v>
      </c>
      <c r="F148" s="1" t="str">
        <f t="shared" si="2"/>
        <v>201206</v>
      </c>
    </row>
    <row r="149" spans="1:6" x14ac:dyDescent="0.25">
      <c r="A149" s="1">
        <v>41090</v>
      </c>
      <c r="B149" s="1">
        <v>41364</v>
      </c>
      <c r="C149">
        <v>3</v>
      </c>
      <c r="D149">
        <v>5474.0174720000005</v>
      </c>
      <c r="E149">
        <v>11502.870199999999</v>
      </c>
      <c r="F149" s="1" t="str">
        <f t="shared" si="2"/>
        <v>201206</v>
      </c>
    </row>
    <row r="150" spans="1:6" x14ac:dyDescent="0.25">
      <c r="A150" s="1">
        <v>41090</v>
      </c>
      <c r="B150" s="1">
        <v>41455</v>
      </c>
      <c r="C150">
        <v>4</v>
      </c>
      <c r="D150">
        <v>5593.3759659999996</v>
      </c>
      <c r="E150">
        <v>11502.870199999999</v>
      </c>
      <c r="F150" s="1" t="str">
        <f t="shared" si="2"/>
        <v>201206</v>
      </c>
    </row>
    <row r="151" spans="1:6" x14ac:dyDescent="0.25">
      <c r="A151" s="1">
        <v>41090</v>
      </c>
      <c r="B151" s="1">
        <v>41547</v>
      </c>
      <c r="C151">
        <v>5</v>
      </c>
      <c r="D151">
        <v>5660.3850599999996</v>
      </c>
      <c r="E151">
        <v>11502.870199999999</v>
      </c>
      <c r="F151" s="1" t="str">
        <f t="shared" si="2"/>
        <v>201206</v>
      </c>
    </row>
    <row r="152" spans="1:6" x14ac:dyDescent="0.25">
      <c r="A152" s="1">
        <v>41090</v>
      </c>
      <c r="B152" s="1">
        <v>41639</v>
      </c>
      <c r="C152">
        <v>6</v>
      </c>
      <c r="D152">
        <v>4710.0161550000003</v>
      </c>
      <c r="E152">
        <v>11502.870199999999</v>
      </c>
      <c r="F152" s="1" t="str">
        <f t="shared" si="2"/>
        <v>201206</v>
      </c>
    </row>
    <row r="153" spans="1:6" x14ac:dyDescent="0.25">
      <c r="A153" s="1">
        <v>41090</v>
      </c>
      <c r="B153" s="1">
        <v>41729</v>
      </c>
      <c r="C153">
        <v>7</v>
      </c>
      <c r="D153">
        <v>4873.516482</v>
      </c>
      <c r="E153">
        <v>11502.870199999999</v>
      </c>
      <c r="F153" s="1" t="str">
        <f t="shared" si="2"/>
        <v>201206</v>
      </c>
    </row>
    <row r="154" spans="1:6" x14ac:dyDescent="0.25">
      <c r="A154" s="1">
        <v>41090</v>
      </c>
      <c r="B154" s="1">
        <v>41820</v>
      </c>
      <c r="C154">
        <v>8</v>
      </c>
      <c r="D154">
        <v>4568.5693060000003</v>
      </c>
      <c r="E154">
        <v>11502.870199999999</v>
      </c>
      <c r="F154" s="1" t="str">
        <f t="shared" si="2"/>
        <v>201206</v>
      </c>
    </row>
    <row r="155" spans="1:6" x14ac:dyDescent="0.25">
      <c r="A155" s="1">
        <v>41090</v>
      </c>
      <c r="B155" s="1">
        <v>41912</v>
      </c>
      <c r="C155">
        <v>9</v>
      </c>
      <c r="D155">
        <v>4547.1319759999997</v>
      </c>
      <c r="E155">
        <v>11502.870199999999</v>
      </c>
      <c r="F155" s="1" t="str">
        <f t="shared" si="2"/>
        <v>201206</v>
      </c>
    </row>
    <row r="156" spans="1:6" x14ac:dyDescent="0.25">
      <c r="A156" s="1">
        <v>41090</v>
      </c>
      <c r="B156" s="1">
        <v>42004</v>
      </c>
      <c r="C156">
        <v>10</v>
      </c>
      <c r="D156">
        <v>4600.6671729999998</v>
      </c>
      <c r="E156">
        <v>11502.870199999999</v>
      </c>
      <c r="F156" s="1" t="str">
        <f t="shared" si="2"/>
        <v>201206</v>
      </c>
    </row>
    <row r="157" spans="1:6" x14ac:dyDescent="0.25">
      <c r="A157" s="1">
        <v>41182</v>
      </c>
      <c r="B157" s="1">
        <v>41182</v>
      </c>
      <c r="C157">
        <v>0</v>
      </c>
      <c r="D157">
        <v>775.70814529999996</v>
      </c>
      <c r="E157">
        <v>13316.540199999999</v>
      </c>
      <c r="F157" s="1" t="str">
        <f t="shared" si="2"/>
        <v>201209</v>
      </c>
    </row>
    <row r="158" spans="1:6" x14ac:dyDescent="0.25">
      <c r="A158" s="1">
        <v>41182</v>
      </c>
      <c r="B158" s="1">
        <v>41274</v>
      </c>
      <c r="C158">
        <v>1</v>
      </c>
      <c r="D158">
        <v>3290.3510879999999</v>
      </c>
      <c r="E158">
        <v>13316.540199999999</v>
      </c>
      <c r="F158" s="1" t="str">
        <f t="shared" si="2"/>
        <v>201209</v>
      </c>
    </row>
    <row r="159" spans="1:6" x14ac:dyDescent="0.25">
      <c r="A159" s="1">
        <v>41182</v>
      </c>
      <c r="B159" s="1">
        <v>41364</v>
      </c>
      <c r="C159">
        <v>2</v>
      </c>
      <c r="D159">
        <v>6314.5491259999999</v>
      </c>
      <c r="E159">
        <v>13316.540199999999</v>
      </c>
      <c r="F159" s="1" t="str">
        <f t="shared" si="2"/>
        <v>201209</v>
      </c>
    </row>
    <row r="160" spans="1:6" x14ac:dyDescent="0.25">
      <c r="A160" s="1">
        <v>41182</v>
      </c>
      <c r="B160" s="1">
        <v>41455</v>
      </c>
      <c r="C160">
        <v>3</v>
      </c>
      <c r="D160">
        <v>7099.3832490000004</v>
      </c>
      <c r="E160">
        <v>13316.540199999999</v>
      </c>
      <c r="F160" s="1" t="str">
        <f t="shared" si="2"/>
        <v>201209</v>
      </c>
    </row>
    <row r="161" spans="1:6" x14ac:dyDescent="0.25">
      <c r="A161" s="1">
        <v>41182</v>
      </c>
      <c r="B161" s="1">
        <v>41547</v>
      </c>
      <c r="C161">
        <v>4</v>
      </c>
      <c r="D161">
        <v>7206.3838900000001</v>
      </c>
      <c r="E161">
        <v>13316.540199999999</v>
      </c>
      <c r="F161" s="1" t="str">
        <f t="shared" si="2"/>
        <v>201209</v>
      </c>
    </row>
    <row r="162" spans="1:6" x14ac:dyDescent="0.25">
      <c r="A162" s="1">
        <v>41182</v>
      </c>
      <c r="B162" s="1">
        <v>41639</v>
      </c>
      <c r="C162">
        <v>5</v>
      </c>
      <c r="D162">
        <v>6951.1238869999997</v>
      </c>
      <c r="E162">
        <v>13316.540199999999</v>
      </c>
      <c r="F162" s="1" t="str">
        <f t="shared" si="2"/>
        <v>201209</v>
      </c>
    </row>
    <row r="163" spans="1:6" x14ac:dyDescent="0.25">
      <c r="A163" s="1">
        <v>41182</v>
      </c>
      <c r="B163" s="1">
        <v>41729</v>
      </c>
      <c r="C163">
        <v>6</v>
      </c>
      <c r="D163">
        <v>6910.5626920000004</v>
      </c>
      <c r="E163">
        <v>13316.540199999999</v>
      </c>
      <c r="F163" s="1" t="str">
        <f t="shared" si="2"/>
        <v>201209</v>
      </c>
    </row>
    <row r="164" spans="1:6" x14ac:dyDescent="0.25">
      <c r="A164" s="1">
        <v>41182</v>
      </c>
      <c r="B164" s="1">
        <v>41820</v>
      </c>
      <c r="C164">
        <v>7</v>
      </c>
      <c r="D164">
        <v>6848.320033</v>
      </c>
      <c r="E164">
        <v>13316.540199999999</v>
      </c>
      <c r="F164" s="1" t="str">
        <f t="shared" si="2"/>
        <v>201209</v>
      </c>
    </row>
    <row r="165" spans="1:6" x14ac:dyDescent="0.25">
      <c r="A165" s="1">
        <v>41182</v>
      </c>
      <c r="B165" s="1">
        <v>41912</v>
      </c>
      <c r="C165">
        <v>8</v>
      </c>
      <c r="D165">
        <v>6906.1682719999999</v>
      </c>
      <c r="E165">
        <v>13316.540199999999</v>
      </c>
      <c r="F165" s="1" t="str">
        <f t="shared" si="2"/>
        <v>201209</v>
      </c>
    </row>
    <row r="166" spans="1:6" x14ac:dyDescent="0.25">
      <c r="A166" s="1">
        <v>41182</v>
      </c>
      <c r="B166" s="1">
        <v>42004</v>
      </c>
      <c r="C166">
        <v>9</v>
      </c>
      <c r="D166">
        <v>6825.708533</v>
      </c>
      <c r="E166">
        <v>13316.540199999999</v>
      </c>
      <c r="F166" s="1" t="str">
        <f t="shared" si="2"/>
        <v>201209</v>
      </c>
    </row>
    <row r="167" spans="1:6" x14ac:dyDescent="0.25">
      <c r="A167" s="1">
        <v>41274</v>
      </c>
      <c r="B167" s="1">
        <v>41274</v>
      </c>
      <c r="C167">
        <v>0</v>
      </c>
      <c r="D167">
        <v>1857.653892</v>
      </c>
      <c r="E167">
        <v>14269.7402</v>
      </c>
      <c r="F167" s="1" t="str">
        <f t="shared" si="2"/>
        <v>201212</v>
      </c>
    </row>
    <row r="168" spans="1:6" x14ac:dyDescent="0.25">
      <c r="A168" s="1">
        <v>41274</v>
      </c>
      <c r="B168" s="1">
        <v>41364</v>
      </c>
      <c r="C168">
        <v>1</v>
      </c>
      <c r="D168">
        <v>3064.3523420000001</v>
      </c>
      <c r="E168">
        <v>14269.7402</v>
      </c>
      <c r="F168" s="1" t="str">
        <f t="shared" si="2"/>
        <v>201212</v>
      </c>
    </row>
    <row r="169" spans="1:6" x14ac:dyDescent="0.25">
      <c r="A169" s="1">
        <v>41274</v>
      </c>
      <c r="B169" s="1">
        <v>41455</v>
      </c>
      <c r="C169">
        <v>2</v>
      </c>
      <c r="D169">
        <v>3964.8945680000002</v>
      </c>
      <c r="E169">
        <v>14269.7402</v>
      </c>
      <c r="F169" s="1" t="str">
        <f t="shared" si="2"/>
        <v>201212</v>
      </c>
    </row>
    <row r="170" spans="1:6" x14ac:dyDescent="0.25">
      <c r="A170" s="1">
        <v>41274</v>
      </c>
      <c r="B170" s="1">
        <v>41547</v>
      </c>
      <c r="C170">
        <v>3</v>
      </c>
      <c r="D170">
        <v>3906.1744210000002</v>
      </c>
      <c r="E170">
        <v>14269.7402</v>
      </c>
      <c r="F170" s="1" t="str">
        <f t="shared" si="2"/>
        <v>201212</v>
      </c>
    </row>
    <row r="171" spans="1:6" x14ac:dyDescent="0.25">
      <c r="A171" s="1">
        <v>41274</v>
      </c>
      <c r="B171" s="1">
        <v>41639</v>
      </c>
      <c r="C171">
        <v>4</v>
      </c>
      <c r="D171">
        <v>4058.235306</v>
      </c>
      <c r="E171">
        <v>14269.7402</v>
      </c>
      <c r="F171" s="1" t="str">
        <f t="shared" si="2"/>
        <v>201212</v>
      </c>
    </row>
    <row r="172" spans="1:6" x14ac:dyDescent="0.25">
      <c r="A172" s="1">
        <v>41274</v>
      </c>
      <c r="B172" s="1">
        <v>41729</v>
      </c>
      <c r="C172">
        <v>5</v>
      </c>
      <c r="D172">
        <v>4269.9347479999997</v>
      </c>
      <c r="E172">
        <v>14269.7402</v>
      </c>
      <c r="F172" s="1" t="str">
        <f t="shared" si="2"/>
        <v>201212</v>
      </c>
    </row>
    <row r="173" spans="1:6" x14ac:dyDescent="0.25">
      <c r="A173" s="1">
        <v>41274</v>
      </c>
      <c r="B173" s="1">
        <v>41820</v>
      </c>
      <c r="C173">
        <v>6</v>
      </c>
      <c r="D173">
        <v>4018.8134049999999</v>
      </c>
      <c r="E173">
        <v>14269.7402</v>
      </c>
      <c r="F173" s="1" t="str">
        <f t="shared" si="2"/>
        <v>201212</v>
      </c>
    </row>
    <row r="174" spans="1:6" x14ac:dyDescent="0.25">
      <c r="A174" s="1">
        <v>41274</v>
      </c>
      <c r="B174" s="1">
        <v>41912</v>
      </c>
      <c r="C174">
        <v>7</v>
      </c>
      <c r="D174">
        <v>3867.2756650000001</v>
      </c>
      <c r="E174">
        <v>14269.7402</v>
      </c>
      <c r="F174" s="1" t="str">
        <f t="shared" si="2"/>
        <v>201212</v>
      </c>
    </row>
    <row r="175" spans="1:6" x14ac:dyDescent="0.25">
      <c r="A175" s="1">
        <v>41274</v>
      </c>
      <c r="B175" s="1">
        <v>42004</v>
      </c>
      <c r="C175">
        <v>8</v>
      </c>
      <c r="D175">
        <v>5107.3856580000001</v>
      </c>
      <c r="E175">
        <v>14269.7402</v>
      </c>
      <c r="F175" s="1" t="str">
        <f t="shared" si="2"/>
        <v>201212</v>
      </c>
    </row>
    <row r="176" spans="1:6" x14ac:dyDescent="0.25">
      <c r="A176" s="1">
        <v>41364</v>
      </c>
      <c r="B176" s="1">
        <v>41364</v>
      </c>
      <c r="C176">
        <v>0</v>
      </c>
      <c r="D176">
        <v>1607.706719</v>
      </c>
      <c r="E176">
        <v>15193.120199999999</v>
      </c>
      <c r="F176" s="1" t="str">
        <f t="shared" si="2"/>
        <v>201303</v>
      </c>
    </row>
    <row r="177" spans="1:6" x14ac:dyDescent="0.25">
      <c r="A177" s="1">
        <v>41364</v>
      </c>
      <c r="B177" s="1">
        <v>41455</v>
      </c>
      <c r="C177">
        <v>1</v>
      </c>
      <c r="D177">
        <v>4000.340565</v>
      </c>
      <c r="E177">
        <v>15193.120199999999</v>
      </c>
      <c r="F177" s="1" t="str">
        <f t="shared" si="2"/>
        <v>201303</v>
      </c>
    </row>
    <row r="178" spans="1:6" x14ac:dyDescent="0.25">
      <c r="A178" s="1">
        <v>41364</v>
      </c>
      <c r="B178" s="1">
        <v>41547</v>
      </c>
      <c r="C178">
        <v>2</v>
      </c>
      <c r="D178">
        <v>4989.0850799999998</v>
      </c>
      <c r="E178">
        <v>15193.120199999999</v>
      </c>
      <c r="F178" s="1" t="str">
        <f t="shared" si="2"/>
        <v>201303</v>
      </c>
    </row>
    <row r="179" spans="1:6" x14ac:dyDescent="0.25">
      <c r="A179" s="1">
        <v>41364</v>
      </c>
      <c r="B179" s="1">
        <v>41639</v>
      </c>
      <c r="C179">
        <v>3</v>
      </c>
      <c r="D179">
        <v>4800.1831439999996</v>
      </c>
      <c r="E179">
        <v>15193.120199999999</v>
      </c>
      <c r="F179" s="1" t="str">
        <f t="shared" si="2"/>
        <v>201303</v>
      </c>
    </row>
    <row r="180" spans="1:6" x14ac:dyDescent="0.25">
      <c r="A180" s="1">
        <v>41364</v>
      </c>
      <c r="B180" s="1">
        <v>41729</v>
      </c>
      <c r="C180">
        <v>4</v>
      </c>
      <c r="D180">
        <v>4794.5331759999999</v>
      </c>
      <c r="E180">
        <v>15193.120199999999</v>
      </c>
      <c r="F180" s="1" t="str">
        <f t="shared" si="2"/>
        <v>201303</v>
      </c>
    </row>
    <row r="181" spans="1:6" x14ac:dyDescent="0.25">
      <c r="A181" s="1">
        <v>41364</v>
      </c>
      <c r="B181" s="1">
        <v>41820</v>
      </c>
      <c r="C181">
        <v>5</v>
      </c>
      <c r="D181">
        <v>5481.6437669999996</v>
      </c>
      <c r="E181">
        <v>15193.120199999999</v>
      </c>
      <c r="F181" s="1" t="str">
        <f t="shared" si="2"/>
        <v>201303</v>
      </c>
    </row>
    <row r="182" spans="1:6" x14ac:dyDescent="0.25">
      <c r="A182" s="1">
        <v>41364</v>
      </c>
      <c r="B182" s="1">
        <v>41912</v>
      </c>
      <c r="C182">
        <v>6</v>
      </c>
      <c r="D182">
        <v>4777.9785350000002</v>
      </c>
      <c r="E182">
        <v>15193.120199999999</v>
      </c>
      <c r="F182" s="1" t="str">
        <f t="shared" si="2"/>
        <v>201303</v>
      </c>
    </row>
    <row r="183" spans="1:6" x14ac:dyDescent="0.25">
      <c r="A183" s="1">
        <v>41364</v>
      </c>
      <c r="B183" s="1">
        <v>42004</v>
      </c>
      <c r="C183">
        <v>7</v>
      </c>
      <c r="D183">
        <v>4847.1499620000004</v>
      </c>
      <c r="E183">
        <v>15193.120199999999</v>
      </c>
      <c r="F183" s="1" t="str">
        <f t="shared" si="2"/>
        <v>201303</v>
      </c>
    </row>
    <row r="184" spans="1:6" x14ac:dyDescent="0.25">
      <c r="A184" s="1">
        <v>41455</v>
      </c>
      <c r="B184" s="1">
        <v>41455</v>
      </c>
      <c r="C184">
        <v>0</v>
      </c>
      <c r="D184">
        <v>3120.317258</v>
      </c>
      <c r="E184">
        <v>15076.780199999999</v>
      </c>
      <c r="F184" s="1" t="str">
        <f t="shared" si="2"/>
        <v>201306</v>
      </c>
    </row>
    <row r="185" spans="1:6" x14ac:dyDescent="0.25">
      <c r="A185" s="1">
        <v>41455</v>
      </c>
      <c r="B185" s="1">
        <v>41547</v>
      </c>
      <c r="C185">
        <v>1</v>
      </c>
      <c r="D185">
        <v>3906.2209229999999</v>
      </c>
      <c r="E185">
        <v>15076.780199999999</v>
      </c>
      <c r="F185" s="1" t="str">
        <f t="shared" si="2"/>
        <v>201306</v>
      </c>
    </row>
    <row r="186" spans="1:6" x14ac:dyDescent="0.25">
      <c r="A186" s="1">
        <v>41455</v>
      </c>
      <c r="B186" s="1">
        <v>41639</v>
      </c>
      <c r="C186">
        <v>2</v>
      </c>
      <c r="D186">
        <v>7001.9387280000001</v>
      </c>
      <c r="E186">
        <v>15076.780199999999</v>
      </c>
      <c r="F186" s="1" t="str">
        <f t="shared" si="2"/>
        <v>201306</v>
      </c>
    </row>
    <row r="187" spans="1:6" x14ac:dyDescent="0.25">
      <c r="A187" s="1">
        <v>41455</v>
      </c>
      <c r="B187" s="1">
        <v>41729</v>
      </c>
      <c r="C187">
        <v>3</v>
      </c>
      <c r="D187">
        <v>9182.1756050000004</v>
      </c>
      <c r="E187">
        <v>15076.780199999999</v>
      </c>
      <c r="F187" s="1" t="str">
        <f t="shared" si="2"/>
        <v>201306</v>
      </c>
    </row>
    <row r="188" spans="1:6" x14ac:dyDescent="0.25">
      <c r="A188" s="1">
        <v>41455</v>
      </c>
      <c r="B188" s="1">
        <v>41820</v>
      </c>
      <c r="C188">
        <v>4</v>
      </c>
      <c r="D188">
        <v>9679.8029879999995</v>
      </c>
      <c r="E188">
        <v>15076.780199999999</v>
      </c>
      <c r="F188" s="1" t="str">
        <f t="shared" si="2"/>
        <v>201306</v>
      </c>
    </row>
    <row r="189" spans="1:6" x14ac:dyDescent="0.25">
      <c r="A189" s="1">
        <v>41455</v>
      </c>
      <c r="B189" s="1">
        <v>41912</v>
      </c>
      <c r="C189">
        <v>5</v>
      </c>
      <c r="D189">
        <v>7915.8269710000004</v>
      </c>
      <c r="E189">
        <v>15076.780199999999</v>
      </c>
      <c r="F189" s="1" t="str">
        <f t="shared" si="2"/>
        <v>201306</v>
      </c>
    </row>
    <row r="190" spans="1:6" x14ac:dyDescent="0.25">
      <c r="A190" s="1">
        <v>41455</v>
      </c>
      <c r="B190" s="1">
        <v>42004</v>
      </c>
      <c r="C190">
        <v>6</v>
      </c>
      <c r="D190">
        <v>10125.441360000001</v>
      </c>
      <c r="E190">
        <v>15076.780199999999</v>
      </c>
      <c r="F190" s="1" t="str">
        <f t="shared" si="2"/>
        <v>201306</v>
      </c>
    </row>
    <row r="191" spans="1:6" x14ac:dyDescent="0.25">
      <c r="A191" s="1">
        <v>41547</v>
      </c>
      <c r="B191" s="1">
        <v>41547</v>
      </c>
      <c r="C191">
        <v>0</v>
      </c>
      <c r="D191">
        <v>1186.749178</v>
      </c>
      <c r="E191">
        <v>18804.480200000002</v>
      </c>
      <c r="F191" s="1" t="str">
        <f t="shared" si="2"/>
        <v>201309</v>
      </c>
    </row>
    <row r="192" spans="1:6" x14ac:dyDescent="0.25">
      <c r="A192" s="1">
        <v>41547</v>
      </c>
      <c r="B192" s="1">
        <v>41639</v>
      </c>
      <c r="C192">
        <v>1</v>
      </c>
      <c r="D192">
        <v>1948.7160409999999</v>
      </c>
      <c r="E192">
        <v>18804.480200000002</v>
      </c>
      <c r="F192" s="1" t="str">
        <f t="shared" si="2"/>
        <v>201309</v>
      </c>
    </row>
    <row r="193" spans="1:6" x14ac:dyDescent="0.25">
      <c r="A193" s="1">
        <v>41547</v>
      </c>
      <c r="B193" s="1">
        <v>41729</v>
      </c>
      <c r="C193">
        <v>2</v>
      </c>
      <c r="D193">
        <v>3061.9691250000001</v>
      </c>
      <c r="E193">
        <v>18804.480200000002</v>
      </c>
      <c r="F193" s="1" t="str">
        <f t="shared" si="2"/>
        <v>201309</v>
      </c>
    </row>
    <row r="194" spans="1:6" x14ac:dyDescent="0.25">
      <c r="A194" s="1">
        <v>41547</v>
      </c>
      <c r="B194" s="1">
        <v>41820</v>
      </c>
      <c r="C194">
        <v>3</v>
      </c>
      <c r="D194">
        <v>4515.3247449999999</v>
      </c>
      <c r="E194">
        <v>18804.480200000002</v>
      </c>
      <c r="F194" s="1" t="str">
        <f t="shared" si="2"/>
        <v>201309</v>
      </c>
    </row>
    <row r="195" spans="1:6" x14ac:dyDescent="0.25">
      <c r="A195" s="1">
        <v>41547</v>
      </c>
      <c r="B195" s="1">
        <v>41912</v>
      </c>
      <c r="C195">
        <v>4</v>
      </c>
      <c r="D195">
        <v>4628.4054960000003</v>
      </c>
      <c r="E195">
        <v>18804.480200000002</v>
      </c>
      <c r="F195" s="1" t="str">
        <f t="shared" ref="F195:F211" si="3">YEAR(A195)&amp;IF(LEN(MONTH(A195))=1,"0"&amp;MONTH(A195),MONTH(A195))</f>
        <v>201309</v>
      </c>
    </row>
    <row r="196" spans="1:6" x14ac:dyDescent="0.25">
      <c r="A196" s="1">
        <v>41547</v>
      </c>
      <c r="B196" s="1">
        <v>42004</v>
      </c>
      <c r="C196">
        <v>5</v>
      </c>
      <c r="D196">
        <v>4755.1345259999998</v>
      </c>
      <c r="E196">
        <v>18804.480200000002</v>
      </c>
      <c r="F196" s="1" t="str">
        <f t="shared" si="3"/>
        <v>201309</v>
      </c>
    </row>
    <row r="197" spans="1:6" x14ac:dyDescent="0.25">
      <c r="A197" s="1">
        <v>41639</v>
      </c>
      <c r="B197" s="1">
        <v>41639</v>
      </c>
      <c r="C197">
        <v>0</v>
      </c>
      <c r="D197">
        <v>508.12516470000003</v>
      </c>
      <c r="E197">
        <v>17929.950199999999</v>
      </c>
      <c r="F197" s="1" t="str">
        <f t="shared" si="3"/>
        <v>201312</v>
      </c>
    </row>
    <row r="198" spans="1:6" x14ac:dyDescent="0.25">
      <c r="A198" s="1">
        <v>41639</v>
      </c>
      <c r="B198" s="1">
        <v>41729</v>
      </c>
      <c r="C198">
        <v>1</v>
      </c>
      <c r="D198">
        <v>1844.156745</v>
      </c>
      <c r="E198">
        <v>17929.950199999999</v>
      </c>
      <c r="F198" s="1" t="str">
        <f t="shared" si="3"/>
        <v>201312</v>
      </c>
    </row>
    <row r="199" spans="1:6" x14ac:dyDescent="0.25">
      <c r="A199" s="1">
        <v>41639</v>
      </c>
      <c r="B199" s="1">
        <v>41820</v>
      </c>
      <c r="C199">
        <v>2</v>
      </c>
      <c r="D199">
        <v>4444.6536349999997</v>
      </c>
      <c r="E199">
        <v>17929.950199999999</v>
      </c>
      <c r="F199" s="1" t="str">
        <f t="shared" si="3"/>
        <v>201312</v>
      </c>
    </row>
    <row r="200" spans="1:6" x14ac:dyDescent="0.25">
      <c r="A200" s="1">
        <v>41639</v>
      </c>
      <c r="B200" s="1">
        <v>41912</v>
      </c>
      <c r="C200">
        <v>3</v>
      </c>
      <c r="D200">
        <v>6455.914597</v>
      </c>
      <c r="E200">
        <v>17929.950199999999</v>
      </c>
      <c r="F200" s="1" t="str">
        <f t="shared" si="3"/>
        <v>201312</v>
      </c>
    </row>
    <row r="201" spans="1:6" x14ac:dyDescent="0.25">
      <c r="A201" s="1">
        <v>41639</v>
      </c>
      <c r="B201" s="1">
        <v>42004</v>
      </c>
      <c r="C201">
        <v>4</v>
      </c>
      <c r="D201">
        <v>7419.1993769999999</v>
      </c>
      <c r="E201">
        <v>17929.950199999999</v>
      </c>
      <c r="F201" s="1" t="str">
        <f t="shared" si="3"/>
        <v>201312</v>
      </c>
    </row>
    <row r="202" spans="1:6" x14ac:dyDescent="0.25">
      <c r="A202" s="1">
        <v>41729</v>
      </c>
      <c r="B202" s="1">
        <v>41729</v>
      </c>
      <c r="C202">
        <v>0</v>
      </c>
      <c r="D202">
        <v>631.91295530000002</v>
      </c>
      <c r="E202">
        <v>18824.710200000001</v>
      </c>
      <c r="F202" s="1" t="str">
        <f t="shared" si="3"/>
        <v>201403</v>
      </c>
    </row>
    <row r="203" spans="1:6" x14ac:dyDescent="0.25">
      <c r="A203" s="1">
        <v>41729</v>
      </c>
      <c r="B203" s="1">
        <v>41820</v>
      </c>
      <c r="C203">
        <v>1</v>
      </c>
      <c r="D203">
        <v>1950.552862</v>
      </c>
      <c r="E203">
        <v>18824.710200000001</v>
      </c>
      <c r="F203" s="1" t="str">
        <f t="shared" si="3"/>
        <v>201403</v>
      </c>
    </row>
    <row r="204" spans="1:6" x14ac:dyDescent="0.25">
      <c r="A204" s="1">
        <v>41729</v>
      </c>
      <c r="B204" s="1">
        <v>41912</v>
      </c>
      <c r="C204">
        <v>2</v>
      </c>
      <c r="D204">
        <v>2235.3182579999998</v>
      </c>
      <c r="E204">
        <v>18824.710200000001</v>
      </c>
      <c r="F204" s="1" t="str">
        <f t="shared" si="3"/>
        <v>201403</v>
      </c>
    </row>
    <row r="205" spans="1:6" x14ac:dyDescent="0.25">
      <c r="A205" s="1">
        <v>41729</v>
      </c>
      <c r="B205" s="1">
        <v>42004</v>
      </c>
      <c r="C205">
        <v>3</v>
      </c>
      <c r="D205">
        <v>4024.5331259999998</v>
      </c>
      <c r="E205">
        <v>18824.710200000001</v>
      </c>
      <c r="F205" s="1" t="str">
        <f t="shared" si="3"/>
        <v>201403</v>
      </c>
    </row>
    <row r="206" spans="1:6" x14ac:dyDescent="0.25">
      <c r="A206" s="1">
        <v>41820</v>
      </c>
      <c r="B206" s="1">
        <v>41820</v>
      </c>
      <c r="C206">
        <v>0</v>
      </c>
      <c r="D206">
        <v>575.90153769999995</v>
      </c>
      <c r="E206">
        <v>20181.340199999999</v>
      </c>
      <c r="F206" s="1" t="str">
        <f t="shared" si="3"/>
        <v>201406</v>
      </c>
    </row>
    <row r="207" spans="1:6" x14ac:dyDescent="0.25">
      <c r="A207" s="1">
        <v>41820</v>
      </c>
      <c r="B207" s="1">
        <v>41912</v>
      </c>
      <c r="C207">
        <v>1</v>
      </c>
      <c r="D207">
        <v>3531.0095270000002</v>
      </c>
      <c r="E207">
        <v>20181.340199999999</v>
      </c>
      <c r="F207" s="1" t="str">
        <f t="shared" si="3"/>
        <v>201406</v>
      </c>
    </row>
    <row r="208" spans="1:6" x14ac:dyDescent="0.25">
      <c r="A208" s="1">
        <v>41820</v>
      </c>
      <c r="B208" s="1">
        <v>42004</v>
      </c>
      <c r="C208">
        <v>2</v>
      </c>
      <c r="D208">
        <v>8147.7663220000004</v>
      </c>
      <c r="E208">
        <v>20181.340199999999</v>
      </c>
      <c r="F208" s="1" t="str">
        <f t="shared" si="3"/>
        <v>201406</v>
      </c>
    </row>
    <row r="209" spans="1:6" x14ac:dyDescent="0.25">
      <c r="A209" s="1">
        <v>41912</v>
      </c>
      <c r="B209" s="1">
        <v>41912</v>
      </c>
      <c r="C209">
        <v>0</v>
      </c>
      <c r="D209">
        <v>1548.602932</v>
      </c>
      <c r="E209">
        <v>20891.360199999999</v>
      </c>
      <c r="F209" s="1" t="str">
        <f t="shared" si="3"/>
        <v>201409</v>
      </c>
    </row>
    <row r="210" spans="1:6" x14ac:dyDescent="0.25">
      <c r="A210" s="1">
        <v>41912</v>
      </c>
      <c r="B210" s="1">
        <v>42004</v>
      </c>
      <c r="C210">
        <v>1</v>
      </c>
      <c r="D210">
        <v>4806.7515240000002</v>
      </c>
      <c r="E210">
        <v>20891.360199999999</v>
      </c>
      <c r="F210" s="1" t="str">
        <f t="shared" si="3"/>
        <v>201409</v>
      </c>
    </row>
    <row r="211" spans="1:6" x14ac:dyDescent="0.25">
      <c r="A211" s="1">
        <v>42004</v>
      </c>
      <c r="B211" s="1">
        <v>42004</v>
      </c>
      <c r="C211">
        <v>0</v>
      </c>
      <c r="D211">
        <v>1877.010266</v>
      </c>
      <c r="E211">
        <v>23653.9902</v>
      </c>
      <c r="F211" s="1" t="str">
        <f t="shared" si="3"/>
        <v>201412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11"/>
  <sheetViews>
    <sheetView workbookViewId="0"/>
  </sheetViews>
  <sheetFormatPr defaultRowHeight="15" x14ac:dyDescent="0.25"/>
  <cols>
    <col min="1" max="1" width="10.7109375" bestFit="1" customWidth="1"/>
    <col min="2" max="2" width="13.140625" bestFit="1" customWidth="1"/>
    <col min="3" max="3" width="3.5703125" bestFit="1" customWidth="1"/>
    <col min="4" max="4" width="12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</row>
    <row r="2" spans="1:6" x14ac:dyDescent="0.25">
      <c r="A2" s="1">
        <v>40268</v>
      </c>
      <c r="B2" s="1">
        <v>42094</v>
      </c>
      <c r="C2">
        <v>20</v>
      </c>
      <c r="D2">
        <v>9455.5829360000007</v>
      </c>
      <c r="E2">
        <v>0</v>
      </c>
      <c r="F2" s="1" t="str">
        <f>YEAR(A2)&amp;IF(LEN(MONTH(A2))=1,"0"&amp;MONTH(A2),MONTH(A2))</f>
        <v>201003</v>
      </c>
    </row>
    <row r="3" spans="1:6" x14ac:dyDescent="0.25">
      <c r="A3" s="1">
        <v>40359</v>
      </c>
      <c r="B3" s="1">
        <v>42094</v>
      </c>
      <c r="C3">
        <v>19</v>
      </c>
      <c r="D3">
        <v>5807.6562590000003</v>
      </c>
      <c r="E3">
        <v>0</v>
      </c>
      <c r="F3" s="1" t="str">
        <f t="shared" ref="F3:F66" si="0">YEAR(A3)&amp;IF(LEN(MONTH(A3))=1,"0"&amp;MONTH(A3),MONTH(A3))</f>
        <v>201006</v>
      </c>
    </row>
    <row r="4" spans="1:6" x14ac:dyDescent="0.25">
      <c r="A4" s="1">
        <v>40359</v>
      </c>
      <c r="B4" s="1">
        <v>42185</v>
      </c>
      <c r="C4">
        <v>20</v>
      </c>
      <c r="D4">
        <v>5802.7270680000001</v>
      </c>
      <c r="E4">
        <v>0</v>
      </c>
      <c r="F4" s="1" t="str">
        <f t="shared" si="0"/>
        <v>201006</v>
      </c>
    </row>
    <row r="5" spans="1:6" x14ac:dyDescent="0.25">
      <c r="A5" s="1">
        <v>40451</v>
      </c>
      <c r="B5" s="1">
        <v>42094</v>
      </c>
      <c r="C5">
        <v>18</v>
      </c>
      <c r="D5">
        <v>7821.9049610000002</v>
      </c>
      <c r="E5">
        <v>0</v>
      </c>
      <c r="F5" s="1" t="str">
        <f t="shared" si="0"/>
        <v>201009</v>
      </c>
    </row>
    <row r="6" spans="1:6" x14ac:dyDescent="0.25">
      <c r="A6" s="1">
        <v>40451</v>
      </c>
      <c r="B6" s="1">
        <v>42185</v>
      </c>
      <c r="C6">
        <v>19</v>
      </c>
      <c r="D6">
        <v>7821.4050669999997</v>
      </c>
      <c r="E6">
        <v>0</v>
      </c>
      <c r="F6" s="1" t="str">
        <f t="shared" si="0"/>
        <v>201009</v>
      </c>
    </row>
    <row r="7" spans="1:6" x14ac:dyDescent="0.25">
      <c r="A7" s="1">
        <v>40451</v>
      </c>
      <c r="B7" s="1">
        <v>42277</v>
      </c>
      <c r="C7">
        <v>20</v>
      </c>
      <c r="D7">
        <v>8155.8343850000001</v>
      </c>
      <c r="E7">
        <v>0</v>
      </c>
      <c r="F7" s="1" t="str">
        <f t="shared" si="0"/>
        <v>201009</v>
      </c>
    </row>
    <row r="8" spans="1:6" x14ac:dyDescent="0.25">
      <c r="A8" s="1">
        <v>40543</v>
      </c>
      <c r="B8" s="1">
        <v>42094</v>
      </c>
      <c r="C8">
        <v>17</v>
      </c>
      <c r="D8">
        <v>5920.8183879999997</v>
      </c>
      <c r="E8">
        <v>0</v>
      </c>
      <c r="F8" s="1" t="str">
        <f t="shared" si="0"/>
        <v>201012</v>
      </c>
    </row>
    <row r="9" spans="1:6" x14ac:dyDescent="0.25">
      <c r="A9" s="1">
        <v>40543</v>
      </c>
      <c r="B9" s="1">
        <v>42185</v>
      </c>
      <c r="C9">
        <v>18</v>
      </c>
      <c r="D9">
        <v>6165.9409999999998</v>
      </c>
      <c r="E9">
        <v>0</v>
      </c>
      <c r="F9" s="1" t="str">
        <f t="shared" si="0"/>
        <v>201012</v>
      </c>
    </row>
    <row r="10" spans="1:6" x14ac:dyDescent="0.25">
      <c r="A10" s="1">
        <v>40543</v>
      </c>
      <c r="B10" s="1">
        <v>42277</v>
      </c>
      <c r="C10">
        <v>19</v>
      </c>
      <c r="D10">
        <v>6196.0276640000002</v>
      </c>
      <c r="E10">
        <v>0</v>
      </c>
      <c r="F10" s="1" t="str">
        <f t="shared" si="0"/>
        <v>201012</v>
      </c>
    </row>
    <row r="11" spans="1:6" x14ac:dyDescent="0.25">
      <c r="A11" s="1">
        <v>40543</v>
      </c>
      <c r="B11" s="1">
        <v>42369</v>
      </c>
      <c r="C11">
        <v>20</v>
      </c>
      <c r="D11">
        <v>6026.0170850000004</v>
      </c>
      <c r="E11">
        <v>0</v>
      </c>
      <c r="F11" s="1" t="str">
        <f t="shared" si="0"/>
        <v>201012</v>
      </c>
    </row>
    <row r="12" spans="1:6" x14ac:dyDescent="0.25">
      <c r="A12" s="1">
        <v>40633</v>
      </c>
      <c r="B12" s="1">
        <v>42094</v>
      </c>
      <c r="C12">
        <v>16</v>
      </c>
      <c r="D12">
        <v>8708.8686620000008</v>
      </c>
      <c r="E12">
        <v>0</v>
      </c>
      <c r="F12" s="1" t="str">
        <f t="shared" si="0"/>
        <v>201103</v>
      </c>
    </row>
    <row r="13" spans="1:6" x14ac:dyDescent="0.25">
      <c r="A13" s="1">
        <v>40633</v>
      </c>
      <c r="B13" s="1">
        <v>42185</v>
      </c>
      <c r="C13">
        <v>17</v>
      </c>
      <c r="D13">
        <v>9367.636407</v>
      </c>
      <c r="E13">
        <v>0</v>
      </c>
      <c r="F13" s="1" t="str">
        <f t="shared" si="0"/>
        <v>201103</v>
      </c>
    </row>
    <row r="14" spans="1:6" x14ac:dyDescent="0.25">
      <c r="A14" s="1">
        <v>40633</v>
      </c>
      <c r="B14" s="1">
        <v>42277</v>
      </c>
      <c r="C14">
        <v>18</v>
      </c>
      <c r="D14">
        <v>9670.7235120000005</v>
      </c>
      <c r="E14">
        <v>0</v>
      </c>
      <c r="F14" s="1" t="str">
        <f t="shared" si="0"/>
        <v>201103</v>
      </c>
    </row>
    <row r="15" spans="1:6" x14ac:dyDescent="0.25">
      <c r="A15" s="1">
        <v>40633</v>
      </c>
      <c r="B15" s="1">
        <v>42369</v>
      </c>
      <c r="C15">
        <v>19</v>
      </c>
      <c r="D15">
        <v>10318.90047</v>
      </c>
      <c r="E15">
        <v>0</v>
      </c>
      <c r="F15" s="1" t="str">
        <f t="shared" si="0"/>
        <v>201103</v>
      </c>
    </row>
    <row r="16" spans="1:6" x14ac:dyDescent="0.25">
      <c r="A16" s="1">
        <v>40633</v>
      </c>
      <c r="B16" s="1">
        <v>42460</v>
      </c>
      <c r="C16">
        <v>20</v>
      </c>
      <c r="D16">
        <v>10078.683800000001</v>
      </c>
      <c r="E16">
        <v>0</v>
      </c>
      <c r="F16" s="1" t="str">
        <f t="shared" si="0"/>
        <v>201103</v>
      </c>
    </row>
    <row r="17" spans="1:6" x14ac:dyDescent="0.25">
      <c r="A17" s="1">
        <v>40724</v>
      </c>
      <c r="B17" s="1">
        <v>42094</v>
      </c>
      <c r="C17">
        <v>15</v>
      </c>
      <c r="D17">
        <v>7050.8121199999996</v>
      </c>
      <c r="E17">
        <v>0</v>
      </c>
      <c r="F17" s="1" t="str">
        <f t="shared" si="0"/>
        <v>201106</v>
      </c>
    </row>
    <row r="18" spans="1:6" x14ac:dyDescent="0.25">
      <c r="A18" s="1">
        <v>40724</v>
      </c>
      <c r="B18" s="1">
        <v>42185</v>
      </c>
      <c r="C18">
        <v>16</v>
      </c>
      <c r="D18">
        <v>6987.5929230000002</v>
      </c>
      <c r="E18">
        <v>0</v>
      </c>
      <c r="F18" s="1" t="str">
        <f t="shared" si="0"/>
        <v>201106</v>
      </c>
    </row>
    <row r="19" spans="1:6" x14ac:dyDescent="0.25">
      <c r="A19" s="1">
        <v>40724</v>
      </c>
      <c r="B19" s="1">
        <v>42277</v>
      </c>
      <c r="C19">
        <v>17</v>
      </c>
      <c r="D19">
        <v>7024.7594870000003</v>
      </c>
      <c r="E19">
        <v>0</v>
      </c>
      <c r="F19" s="1" t="str">
        <f t="shared" si="0"/>
        <v>201106</v>
      </c>
    </row>
    <row r="20" spans="1:6" x14ac:dyDescent="0.25">
      <c r="A20" s="1">
        <v>40724</v>
      </c>
      <c r="B20" s="1">
        <v>42369</v>
      </c>
      <c r="C20">
        <v>18</v>
      </c>
      <c r="D20">
        <v>7182.1564529999996</v>
      </c>
      <c r="E20">
        <v>0</v>
      </c>
      <c r="F20" s="1" t="str">
        <f t="shared" si="0"/>
        <v>201106</v>
      </c>
    </row>
    <row r="21" spans="1:6" x14ac:dyDescent="0.25">
      <c r="A21" s="1">
        <v>40724</v>
      </c>
      <c r="B21" s="1">
        <v>42460</v>
      </c>
      <c r="C21">
        <v>19</v>
      </c>
      <c r="D21">
        <v>6672.3339720000004</v>
      </c>
      <c r="E21">
        <v>0</v>
      </c>
      <c r="F21" s="1" t="str">
        <f t="shared" si="0"/>
        <v>201106</v>
      </c>
    </row>
    <row r="22" spans="1:6" x14ac:dyDescent="0.25">
      <c r="A22" s="1">
        <v>40724</v>
      </c>
      <c r="B22" s="1">
        <v>42551</v>
      </c>
      <c r="C22">
        <v>20</v>
      </c>
      <c r="D22">
        <v>6675.7053530000003</v>
      </c>
      <c r="E22">
        <v>0</v>
      </c>
      <c r="F22" s="1" t="str">
        <f t="shared" si="0"/>
        <v>201106</v>
      </c>
    </row>
    <row r="23" spans="1:6" x14ac:dyDescent="0.25">
      <c r="A23" s="1">
        <v>40816</v>
      </c>
      <c r="B23" s="1">
        <v>42094</v>
      </c>
      <c r="C23">
        <v>14</v>
      </c>
      <c r="D23">
        <v>8560.5976740000006</v>
      </c>
      <c r="E23">
        <v>0</v>
      </c>
      <c r="F23" s="1" t="str">
        <f t="shared" si="0"/>
        <v>201109</v>
      </c>
    </row>
    <row r="24" spans="1:6" x14ac:dyDescent="0.25">
      <c r="A24" s="1">
        <v>40816</v>
      </c>
      <c r="B24" s="1">
        <v>42185</v>
      </c>
      <c r="C24">
        <v>15</v>
      </c>
      <c r="D24">
        <v>8368.7544999999991</v>
      </c>
      <c r="E24">
        <v>0</v>
      </c>
      <c r="F24" s="1" t="str">
        <f t="shared" si="0"/>
        <v>201109</v>
      </c>
    </row>
    <row r="25" spans="1:6" x14ac:dyDescent="0.25">
      <c r="A25" s="1">
        <v>40816</v>
      </c>
      <c r="B25" s="1">
        <v>42277</v>
      </c>
      <c r="C25">
        <v>16</v>
      </c>
      <c r="D25">
        <v>8322.8107220000002</v>
      </c>
      <c r="E25">
        <v>0</v>
      </c>
      <c r="F25" s="1" t="str">
        <f t="shared" si="0"/>
        <v>201109</v>
      </c>
    </row>
    <row r="26" spans="1:6" x14ac:dyDescent="0.25">
      <c r="A26" s="1">
        <v>40816</v>
      </c>
      <c r="B26" s="1">
        <v>42369</v>
      </c>
      <c r="C26">
        <v>17</v>
      </c>
      <c r="D26">
        <v>8495.471904</v>
      </c>
      <c r="E26">
        <v>0</v>
      </c>
      <c r="F26" s="1" t="str">
        <f t="shared" si="0"/>
        <v>201109</v>
      </c>
    </row>
    <row r="27" spans="1:6" x14ac:dyDescent="0.25">
      <c r="A27" s="1">
        <v>40816</v>
      </c>
      <c r="B27" s="1">
        <v>42460</v>
      </c>
      <c r="C27">
        <v>18</v>
      </c>
      <c r="D27">
        <v>8286.0975510000007</v>
      </c>
      <c r="E27">
        <v>0</v>
      </c>
      <c r="F27" s="1" t="str">
        <f t="shared" si="0"/>
        <v>201109</v>
      </c>
    </row>
    <row r="28" spans="1:6" x14ac:dyDescent="0.25">
      <c r="A28" s="1">
        <v>40816</v>
      </c>
      <c r="B28" s="1">
        <v>42551</v>
      </c>
      <c r="C28">
        <v>19</v>
      </c>
      <c r="D28">
        <v>8254.9762210000008</v>
      </c>
      <c r="E28">
        <v>0</v>
      </c>
      <c r="F28" s="1" t="str">
        <f t="shared" si="0"/>
        <v>201109</v>
      </c>
    </row>
    <row r="29" spans="1:6" x14ac:dyDescent="0.25">
      <c r="A29" s="1">
        <v>40816</v>
      </c>
      <c r="B29" s="1">
        <v>42643</v>
      </c>
      <c r="C29">
        <v>20</v>
      </c>
      <c r="D29">
        <v>8536.2656079999997</v>
      </c>
      <c r="E29">
        <v>0</v>
      </c>
      <c r="F29" s="1" t="str">
        <f t="shared" si="0"/>
        <v>201109</v>
      </c>
    </row>
    <row r="30" spans="1:6" x14ac:dyDescent="0.25">
      <c r="A30" s="1">
        <v>40908</v>
      </c>
      <c r="B30" s="1">
        <v>42094</v>
      </c>
      <c r="C30">
        <v>13</v>
      </c>
      <c r="D30">
        <v>9206.9378130000005</v>
      </c>
      <c r="E30">
        <v>0</v>
      </c>
      <c r="F30" s="1" t="str">
        <f t="shared" si="0"/>
        <v>201112</v>
      </c>
    </row>
    <row r="31" spans="1:6" x14ac:dyDescent="0.25">
      <c r="A31" s="1">
        <v>40908</v>
      </c>
      <c r="B31" s="1">
        <v>42185</v>
      </c>
      <c r="C31">
        <v>14</v>
      </c>
      <c r="D31">
        <v>9792.1862120000005</v>
      </c>
      <c r="E31">
        <v>0</v>
      </c>
      <c r="F31" s="1" t="str">
        <f t="shared" si="0"/>
        <v>201112</v>
      </c>
    </row>
    <row r="32" spans="1:6" x14ac:dyDescent="0.25">
      <c r="A32" s="1">
        <v>40908</v>
      </c>
      <c r="B32" s="1">
        <v>42277</v>
      </c>
      <c r="C32">
        <v>15</v>
      </c>
      <c r="D32">
        <v>9953.2451949999995</v>
      </c>
      <c r="E32">
        <v>0</v>
      </c>
      <c r="F32" s="1" t="str">
        <f t="shared" si="0"/>
        <v>201112</v>
      </c>
    </row>
    <row r="33" spans="1:6" x14ac:dyDescent="0.25">
      <c r="A33" s="1">
        <v>40908</v>
      </c>
      <c r="B33" s="1">
        <v>42369</v>
      </c>
      <c r="C33">
        <v>16</v>
      </c>
      <c r="D33">
        <v>10001.548940000001</v>
      </c>
      <c r="E33">
        <v>0</v>
      </c>
      <c r="F33" s="1" t="str">
        <f t="shared" si="0"/>
        <v>201112</v>
      </c>
    </row>
    <row r="34" spans="1:6" x14ac:dyDescent="0.25">
      <c r="A34" s="1">
        <v>40908</v>
      </c>
      <c r="B34" s="1">
        <v>42460</v>
      </c>
      <c r="C34">
        <v>17</v>
      </c>
      <c r="D34">
        <v>9407.1978130000007</v>
      </c>
      <c r="E34">
        <v>0</v>
      </c>
      <c r="F34" s="1" t="str">
        <f t="shared" si="0"/>
        <v>201112</v>
      </c>
    </row>
    <row r="35" spans="1:6" x14ac:dyDescent="0.25">
      <c r="A35" s="1">
        <v>40908</v>
      </c>
      <c r="B35" s="1">
        <v>42551</v>
      </c>
      <c r="C35">
        <v>18</v>
      </c>
      <c r="D35">
        <v>9451.7697879999996</v>
      </c>
      <c r="E35">
        <v>0</v>
      </c>
      <c r="F35" s="1" t="str">
        <f t="shared" si="0"/>
        <v>201112</v>
      </c>
    </row>
    <row r="36" spans="1:6" x14ac:dyDescent="0.25">
      <c r="A36" s="1">
        <v>40908</v>
      </c>
      <c r="B36" s="1">
        <v>42643</v>
      </c>
      <c r="C36">
        <v>19</v>
      </c>
      <c r="D36">
        <v>8273.2281779999994</v>
      </c>
      <c r="E36">
        <v>0</v>
      </c>
      <c r="F36" s="1" t="str">
        <f t="shared" si="0"/>
        <v>201112</v>
      </c>
    </row>
    <row r="37" spans="1:6" x14ac:dyDescent="0.25">
      <c r="A37" s="1">
        <v>40908</v>
      </c>
      <c r="B37" s="1">
        <v>42735</v>
      </c>
      <c r="C37">
        <v>20</v>
      </c>
      <c r="D37">
        <v>8370.9517099999994</v>
      </c>
      <c r="E37">
        <v>0</v>
      </c>
      <c r="F37" s="1" t="str">
        <f t="shared" si="0"/>
        <v>201112</v>
      </c>
    </row>
    <row r="38" spans="1:6" x14ac:dyDescent="0.25">
      <c r="A38" s="1">
        <v>40999</v>
      </c>
      <c r="B38" s="1">
        <v>42094</v>
      </c>
      <c r="C38">
        <v>12</v>
      </c>
      <c r="D38">
        <v>2504.5055510000002</v>
      </c>
      <c r="E38">
        <v>0</v>
      </c>
      <c r="F38" s="1" t="str">
        <f t="shared" si="0"/>
        <v>201203</v>
      </c>
    </row>
    <row r="39" spans="1:6" x14ac:dyDescent="0.25">
      <c r="A39" s="1">
        <v>40999</v>
      </c>
      <c r="B39" s="1">
        <v>42185</v>
      </c>
      <c r="C39">
        <v>13</v>
      </c>
      <c r="D39">
        <v>2677.771256</v>
      </c>
      <c r="E39">
        <v>0</v>
      </c>
      <c r="F39" s="1" t="str">
        <f t="shared" si="0"/>
        <v>201203</v>
      </c>
    </row>
    <row r="40" spans="1:6" x14ac:dyDescent="0.25">
      <c r="A40" s="1">
        <v>40999</v>
      </c>
      <c r="B40" s="1">
        <v>42277</v>
      </c>
      <c r="C40">
        <v>14</v>
      </c>
      <c r="D40">
        <v>2594.3935289999999</v>
      </c>
      <c r="E40">
        <v>0</v>
      </c>
      <c r="F40" s="1" t="str">
        <f t="shared" si="0"/>
        <v>201203</v>
      </c>
    </row>
    <row r="41" spans="1:6" x14ac:dyDescent="0.25">
      <c r="A41" s="1">
        <v>40999</v>
      </c>
      <c r="B41" s="1">
        <v>42369</v>
      </c>
      <c r="C41">
        <v>15</v>
      </c>
      <c r="D41">
        <v>2648.1961110000002</v>
      </c>
      <c r="E41">
        <v>0</v>
      </c>
      <c r="F41" s="1" t="str">
        <f t="shared" si="0"/>
        <v>201203</v>
      </c>
    </row>
    <row r="42" spans="1:6" x14ac:dyDescent="0.25">
      <c r="A42" s="1">
        <v>40999</v>
      </c>
      <c r="B42" s="1">
        <v>42460</v>
      </c>
      <c r="C42">
        <v>16</v>
      </c>
      <c r="D42">
        <v>2660.8329749999998</v>
      </c>
      <c r="E42">
        <v>0</v>
      </c>
      <c r="F42" s="1" t="str">
        <f t="shared" si="0"/>
        <v>201203</v>
      </c>
    </row>
    <row r="43" spans="1:6" x14ac:dyDescent="0.25">
      <c r="A43" s="1">
        <v>40999</v>
      </c>
      <c r="B43" s="1">
        <v>42551</v>
      </c>
      <c r="C43">
        <v>17</v>
      </c>
      <c r="D43">
        <v>2521.0485659999999</v>
      </c>
      <c r="E43">
        <v>0</v>
      </c>
      <c r="F43" s="1" t="str">
        <f t="shared" si="0"/>
        <v>201203</v>
      </c>
    </row>
    <row r="44" spans="1:6" x14ac:dyDescent="0.25">
      <c r="A44" s="1">
        <v>40999</v>
      </c>
      <c r="B44" s="1">
        <v>42643</v>
      </c>
      <c r="C44">
        <v>18</v>
      </c>
      <c r="D44">
        <v>2529.3956389999998</v>
      </c>
      <c r="E44">
        <v>0</v>
      </c>
      <c r="F44" s="1" t="str">
        <f t="shared" si="0"/>
        <v>201203</v>
      </c>
    </row>
    <row r="45" spans="1:6" x14ac:dyDescent="0.25">
      <c r="A45" s="1">
        <v>40999</v>
      </c>
      <c r="B45" s="1">
        <v>42735</v>
      </c>
      <c r="C45">
        <v>19</v>
      </c>
      <c r="D45">
        <v>2370.2316040000001</v>
      </c>
      <c r="E45">
        <v>0</v>
      </c>
      <c r="F45" s="1" t="str">
        <f t="shared" si="0"/>
        <v>201203</v>
      </c>
    </row>
    <row r="46" spans="1:6" x14ac:dyDescent="0.25">
      <c r="A46" s="1">
        <v>40999</v>
      </c>
      <c r="B46" s="1">
        <v>42825</v>
      </c>
      <c r="C46">
        <v>20</v>
      </c>
      <c r="D46">
        <v>2370.2316040000001</v>
      </c>
      <c r="E46">
        <v>0</v>
      </c>
      <c r="F46" s="1" t="str">
        <f t="shared" si="0"/>
        <v>201203</v>
      </c>
    </row>
    <row r="47" spans="1:6" x14ac:dyDescent="0.25">
      <c r="A47" s="1">
        <v>41090</v>
      </c>
      <c r="B47" s="1">
        <v>42094</v>
      </c>
      <c r="C47">
        <v>11</v>
      </c>
      <c r="D47">
        <v>4719.5838999999996</v>
      </c>
      <c r="E47">
        <v>0</v>
      </c>
      <c r="F47" s="1" t="str">
        <f t="shared" si="0"/>
        <v>201206</v>
      </c>
    </row>
    <row r="48" spans="1:6" x14ac:dyDescent="0.25">
      <c r="A48" s="1">
        <v>41090</v>
      </c>
      <c r="B48" s="1">
        <v>42185</v>
      </c>
      <c r="C48">
        <v>12</v>
      </c>
      <c r="D48">
        <v>5136.5306609999998</v>
      </c>
      <c r="E48">
        <v>0</v>
      </c>
      <c r="F48" s="1" t="str">
        <f t="shared" si="0"/>
        <v>201206</v>
      </c>
    </row>
    <row r="49" spans="1:6" x14ac:dyDescent="0.25">
      <c r="A49" s="1">
        <v>41090</v>
      </c>
      <c r="B49" s="1">
        <v>42277</v>
      </c>
      <c r="C49">
        <v>13</v>
      </c>
      <c r="D49">
        <v>5207.5156580000003</v>
      </c>
      <c r="E49">
        <v>0</v>
      </c>
      <c r="F49" s="1" t="str">
        <f t="shared" si="0"/>
        <v>201206</v>
      </c>
    </row>
    <row r="50" spans="1:6" x14ac:dyDescent="0.25">
      <c r="A50" s="1">
        <v>41090</v>
      </c>
      <c r="B50" s="1">
        <v>42369</v>
      </c>
      <c r="C50">
        <v>14</v>
      </c>
      <c r="D50">
        <v>5588.9582950000004</v>
      </c>
      <c r="E50">
        <v>0</v>
      </c>
      <c r="F50" s="1" t="str">
        <f t="shared" si="0"/>
        <v>201206</v>
      </c>
    </row>
    <row r="51" spans="1:6" x14ac:dyDescent="0.25">
      <c r="A51" s="1">
        <v>41090</v>
      </c>
      <c r="B51" s="1">
        <v>42460</v>
      </c>
      <c r="C51">
        <v>15</v>
      </c>
      <c r="D51">
        <v>6253.5387650000002</v>
      </c>
      <c r="E51">
        <v>0</v>
      </c>
      <c r="F51" s="1" t="str">
        <f t="shared" si="0"/>
        <v>201206</v>
      </c>
    </row>
    <row r="52" spans="1:6" x14ac:dyDescent="0.25">
      <c r="A52" s="1">
        <v>41090</v>
      </c>
      <c r="B52" s="1">
        <v>42551</v>
      </c>
      <c r="C52">
        <v>16</v>
      </c>
      <c r="D52">
        <v>6507.1014530000002</v>
      </c>
      <c r="E52">
        <v>0</v>
      </c>
      <c r="F52" s="1" t="str">
        <f t="shared" si="0"/>
        <v>201206</v>
      </c>
    </row>
    <row r="53" spans="1:6" x14ac:dyDescent="0.25">
      <c r="A53" s="1">
        <v>41090</v>
      </c>
      <c r="B53" s="1">
        <v>42643</v>
      </c>
      <c r="C53">
        <v>17</v>
      </c>
      <c r="D53">
        <v>6507.1014530000002</v>
      </c>
      <c r="E53">
        <v>0</v>
      </c>
      <c r="F53" s="1" t="str">
        <f t="shared" si="0"/>
        <v>201206</v>
      </c>
    </row>
    <row r="54" spans="1:6" x14ac:dyDescent="0.25">
      <c r="A54" s="1">
        <v>41090</v>
      </c>
      <c r="B54" s="1">
        <v>42735</v>
      </c>
      <c r="C54">
        <v>18</v>
      </c>
      <c r="D54">
        <v>6593.0484040000001</v>
      </c>
      <c r="E54">
        <v>0</v>
      </c>
      <c r="F54" s="1" t="str">
        <f t="shared" si="0"/>
        <v>201206</v>
      </c>
    </row>
    <row r="55" spans="1:6" x14ac:dyDescent="0.25">
      <c r="A55" s="1">
        <v>41090</v>
      </c>
      <c r="B55" s="1">
        <v>42825</v>
      </c>
      <c r="C55">
        <v>19</v>
      </c>
      <c r="D55">
        <v>6603.6508139999996</v>
      </c>
      <c r="E55">
        <v>0</v>
      </c>
      <c r="F55" s="1" t="str">
        <f t="shared" si="0"/>
        <v>201206</v>
      </c>
    </row>
    <row r="56" spans="1:6" x14ac:dyDescent="0.25">
      <c r="A56" s="1">
        <v>41090</v>
      </c>
      <c r="B56" s="1">
        <v>42916</v>
      </c>
      <c r="C56">
        <v>20</v>
      </c>
      <c r="D56">
        <v>6659.0344580000001</v>
      </c>
      <c r="E56">
        <v>0</v>
      </c>
      <c r="F56" s="1" t="str">
        <f t="shared" si="0"/>
        <v>201206</v>
      </c>
    </row>
    <row r="57" spans="1:6" x14ac:dyDescent="0.25">
      <c r="A57" s="1">
        <v>41182</v>
      </c>
      <c r="B57" s="1">
        <v>42094</v>
      </c>
      <c r="C57">
        <v>10</v>
      </c>
      <c r="D57">
        <v>7024.7013589999997</v>
      </c>
      <c r="E57">
        <v>0</v>
      </c>
      <c r="F57" s="1" t="str">
        <f t="shared" si="0"/>
        <v>201209</v>
      </c>
    </row>
    <row r="58" spans="1:6" x14ac:dyDescent="0.25">
      <c r="A58" s="1">
        <v>41182</v>
      </c>
      <c r="B58" s="1">
        <v>42185</v>
      </c>
      <c r="C58">
        <v>11</v>
      </c>
      <c r="D58">
        <v>7046.0921870000002</v>
      </c>
      <c r="E58">
        <v>0</v>
      </c>
      <c r="F58" s="1" t="str">
        <f t="shared" si="0"/>
        <v>201209</v>
      </c>
    </row>
    <row r="59" spans="1:6" x14ac:dyDescent="0.25">
      <c r="A59" s="1">
        <v>41182</v>
      </c>
      <c r="B59" s="1">
        <v>42277</v>
      </c>
      <c r="C59">
        <v>12</v>
      </c>
      <c r="D59">
        <v>7394.1814080000004</v>
      </c>
      <c r="E59">
        <v>0</v>
      </c>
      <c r="F59" s="1" t="str">
        <f t="shared" si="0"/>
        <v>201209</v>
      </c>
    </row>
    <row r="60" spans="1:6" x14ac:dyDescent="0.25">
      <c r="A60" s="1">
        <v>41182</v>
      </c>
      <c r="B60" s="1">
        <v>42369</v>
      </c>
      <c r="C60">
        <v>13</v>
      </c>
      <c r="D60">
        <v>10204.447920000001</v>
      </c>
      <c r="E60">
        <v>0</v>
      </c>
      <c r="F60" s="1" t="str">
        <f t="shared" si="0"/>
        <v>201209</v>
      </c>
    </row>
    <row r="61" spans="1:6" x14ac:dyDescent="0.25">
      <c r="A61" s="1">
        <v>41182</v>
      </c>
      <c r="B61" s="1">
        <v>42460</v>
      </c>
      <c r="C61">
        <v>14</v>
      </c>
      <c r="D61">
        <v>9914.8928360000009</v>
      </c>
      <c r="E61">
        <v>0</v>
      </c>
      <c r="F61" s="1" t="str">
        <f t="shared" si="0"/>
        <v>201209</v>
      </c>
    </row>
    <row r="62" spans="1:6" x14ac:dyDescent="0.25">
      <c r="A62" s="1">
        <v>41182</v>
      </c>
      <c r="B62" s="1">
        <v>42551</v>
      </c>
      <c r="C62">
        <v>15</v>
      </c>
      <c r="D62">
        <v>9643.3920789999993</v>
      </c>
      <c r="E62">
        <v>0</v>
      </c>
      <c r="F62" s="1" t="str">
        <f t="shared" si="0"/>
        <v>201209</v>
      </c>
    </row>
    <row r="63" spans="1:6" x14ac:dyDescent="0.25">
      <c r="A63" s="1">
        <v>41182</v>
      </c>
      <c r="B63" s="1">
        <v>42643</v>
      </c>
      <c r="C63">
        <v>16</v>
      </c>
      <c r="D63">
        <v>9928.9712560000007</v>
      </c>
      <c r="E63">
        <v>0</v>
      </c>
      <c r="F63" s="1" t="str">
        <f t="shared" si="0"/>
        <v>201209</v>
      </c>
    </row>
    <row r="64" spans="1:6" x14ac:dyDescent="0.25">
      <c r="A64" s="1">
        <v>41182</v>
      </c>
      <c r="B64" s="1">
        <v>42735</v>
      </c>
      <c r="C64">
        <v>17</v>
      </c>
      <c r="D64">
        <v>10268.887790000001</v>
      </c>
      <c r="E64">
        <v>0</v>
      </c>
      <c r="F64" s="1" t="str">
        <f t="shared" si="0"/>
        <v>201209</v>
      </c>
    </row>
    <row r="65" spans="1:6" x14ac:dyDescent="0.25">
      <c r="A65" s="1">
        <v>41182</v>
      </c>
      <c r="B65" s="1">
        <v>42825</v>
      </c>
      <c r="C65">
        <v>18</v>
      </c>
      <c r="D65">
        <v>10221.3397</v>
      </c>
      <c r="E65">
        <v>0</v>
      </c>
      <c r="F65" s="1" t="str">
        <f t="shared" si="0"/>
        <v>201209</v>
      </c>
    </row>
    <row r="66" spans="1:6" x14ac:dyDescent="0.25">
      <c r="A66" s="1">
        <v>41182</v>
      </c>
      <c r="B66" s="1">
        <v>42916</v>
      </c>
      <c r="C66">
        <v>19</v>
      </c>
      <c r="D66">
        <v>10808.436540000001</v>
      </c>
      <c r="E66">
        <v>0</v>
      </c>
      <c r="F66" s="1" t="str">
        <f t="shared" si="0"/>
        <v>201209</v>
      </c>
    </row>
    <row r="67" spans="1:6" x14ac:dyDescent="0.25">
      <c r="A67" s="1">
        <v>41182</v>
      </c>
      <c r="B67" s="1">
        <v>43008</v>
      </c>
      <c r="C67">
        <v>20</v>
      </c>
      <c r="D67">
        <v>10913.053970000001</v>
      </c>
      <c r="E67">
        <v>0</v>
      </c>
      <c r="F67" s="1" t="str">
        <f t="shared" ref="F67:F130" si="1">YEAR(A67)&amp;IF(LEN(MONTH(A67))=1,"0"&amp;MONTH(A67),MONTH(A67))</f>
        <v>201209</v>
      </c>
    </row>
    <row r="68" spans="1:6" x14ac:dyDescent="0.25">
      <c r="A68" s="1">
        <v>41274</v>
      </c>
      <c r="B68" s="1">
        <v>42094</v>
      </c>
      <c r="C68">
        <v>9</v>
      </c>
      <c r="D68">
        <v>4983.9001289999997</v>
      </c>
      <c r="E68">
        <v>0</v>
      </c>
      <c r="F68" s="1" t="str">
        <f t="shared" si="1"/>
        <v>201212</v>
      </c>
    </row>
    <row r="69" spans="1:6" x14ac:dyDescent="0.25">
      <c r="A69" s="1">
        <v>41274</v>
      </c>
      <c r="B69" s="1">
        <v>42185</v>
      </c>
      <c r="C69">
        <v>10</v>
      </c>
      <c r="D69">
        <v>4971.5539010000002</v>
      </c>
      <c r="E69">
        <v>0</v>
      </c>
      <c r="F69" s="1" t="str">
        <f t="shared" si="1"/>
        <v>201212</v>
      </c>
    </row>
    <row r="70" spans="1:6" x14ac:dyDescent="0.25">
      <c r="A70" s="1">
        <v>41274</v>
      </c>
      <c r="B70" s="1">
        <v>42277</v>
      </c>
      <c r="C70">
        <v>11</v>
      </c>
      <c r="D70">
        <v>5328.3970859999999</v>
      </c>
      <c r="E70">
        <v>0</v>
      </c>
      <c r="F70" s="1" t="str">
        <f t="shared" si="1"/>
        <v>201212</v>
      </c>
    </row>
    <row r="71" spans="1:6" x14ac:dyDescent="0.25">
      <c r="A71" s="1">
        <v>41274</v>
      </c>
      <c r="B71" s="1">
        <v>42369</v>
      </c>
      <c r="C71">
        <v>12</v>
      </c>
      <c r="D71">
        <v>5752.4818740000001</v>
      </c>
      <c r="E71">
        <v>0</v>
      </c>
      <c r="F71" s="1" t="str">
        <f t="shared" si="1"/>
        <v>201212</v>
      </c>
    </row>
    <row r="72" spans="1:6" x14ac:dyDescent="0.25">
      <c r="A72" s="1">
        <v>41274</v>
      </c>
      <c r="B72" s="1">
        <v>42460</v>
      </c>
      <c r="C72">
        <v>13</v>
      </c>
      <c r="D72">
        <v>5802.3434280000001</v>
      </c>
      <c r="E72">
        <v>0</v>
      </c>
      <c r="F72" s="1" t="str">
        <f t="shared" si="1"/>
        <v>201212</v>
      </c>
    </row>
    <row r="73" spans="1:6" x14ac:dyDescent="0.25">
      <c r="A73" s="1">
        <v>41274</v>
      </c>
      <c r="B73" s="1">
        <v>42551</v>
      </c>
      <c r="C73">
        <v>14</v>
      </c>
      <c r="D73">
        <v>5553.6169280000004</v>
      </c>
      <c r="E73">
        <v>0</v>
      </c>
      <c r="F73" s="1" t="str">
        <f t="shared" si="1"/>
        <v>201212</v>
      </c>
    </row>
    <row r="74" spans="1:6" x14ac:dyDescent="0.25">
      <c r="A74" s="1">
        <v>41274</v>
      </c>
      <c r="B74" s="1">
        <v>42643</v>
      </c>
      <c r="C74">
        <v>15</v>
      </c>
      <c r="D74">
        <v>6082.8887860000004</v>
      </c>
      <c r="E74">
        <v>0</v>
      </c>
      <c r="F74" s="1" t="str">
        <f t="shared" si="1"/>
        <v>201212</v>
      </c>
    </row>
    <row r="75" spans="1:6" x14ac:dyDescent="0.25">
      <c r="A75" s="1">
        <v>41274</v>
      </c>
      <c r="B75" s="1">
        <v>42735</v>
      </c>
      <c r="C75">
        <v>16</v>
      </c>
      <c r="D75">
        <v>6529.6432000000004</v>
      </c>
      <c r="E75">
        <v>0</v>
      </c>
      <c r="F75" s="1" t="str">
        <f t="shared" si="1"/>
        <v>201212</v>
      </c>
    </row>
    <row r="76" spans="1:6" x14ac:dyDescent="0.25">
      <c r="A76" s="1">
        <v>41274</v>
      </c>
      <c r="B76" s="1">
        <v>42825</v>
      </c>
      <c r="C76">
        <v>17</v>
      </c>
      <c r="D76">
        <v>6522.7841850000004</v>
      </c>
      <c r="E76">
        <v>0</v>
      </c>
      <c r="F76" s="1" t="str">
        <f t="shared" si="1"/>
        <v>201212</v>
      </c>
    </row>
    <row r="77" spans="1:6" x14ac:dyDescent="0.25">
      <c r="A77" s="1">
        <v>41274</v>
      </c>
      <c r="B77" s="1">
        <v>42916</v>
      </c>
      <c r="C77">
        <v>18</v>
      </c>
      <c r="D77">
        <v>6564.8683129999999</v>
      </c>
      <c r="E77">
        <v>0</v>
      </c>
      <c r="F77" s="1" t="str">
        <f t="shared" si="1"/>
        <v>201212</v>
      </c>
    </row>
    <row r="78" spans="1:6" x14ac:dyDescent="0.25">
      <c r="A78" s="1">
        <v>41274</v>
      </c>
      <c r="B78" s="1">
        <v>43008</v>
      </c>
      <c r="C78">
        <v>19</v>
      </c>
      <c r="D78">
        <v>6569.7045010000002</v>
      </c>
      <c r="E78">
        <v>0</v>
      </c>
      <c r="F78" s="1" t="str">
        <f t="shared" si="1"/>
        <v>201212</v>
      </c>
    </row>
    <row r="79" spans="1:6" x14ac:dyDescent="0.25">
      <c r="A79" s="1">
        <v>41274</v>
      </c>
      <c r="B79" s="1">
        <v>43100</v>
      </c>
      <c r="C79">
        <v>20</v>
      </c>
      <c r="D79">
        <v>6519.645313</v>
      </c>
      <c r="E79">
        <v>0</v>
      </c>
      <c r="F79" s="1" t="str">
        <f t="shared" si="1"/>
        <v>201212</v>
      </c>
    </row>
    <row r="80" spans="1:6" x14ac:dyDescent="0.25">
      <c r="A80" s="1">
        <v>41364</v>
      </c>
      <c r="B80" s="1">
        <v>42094</v>
      </c>
      <c r="C80">
        <v>8</v>
      </c>
      <c r="D80">
        <v>4766.701849</v>
      </c>
      <c r="E80">
        <v>0</v>
      </c>
      <c r="F80" s="1" t="str">
        <f t="shared" si="1"/>
        <v>201303</v>
      </c>
    </row>
    <row r="81" spans="1:6" x14ac:dyDescent="0.25">
      <c r="A81" s="1">
        <v>41364</v>
      </c>
      <c r="B81" s="1">
        <v>42185</v>
      </c>
      <c r="C81">
        <v>9</v>
      </c>
      <c r="D81">
        <v>5146.9121880000002</v>
      </c>
      <c r="E81">
        <v>0</v>
      </c>
      <c r="F81" s="1" t="str">
        <f t="shared" si="1"/>
        <v>201303</v>
      </c>
    </row>
    <row r="82" spans="1:6" x14ac:dyDescent="0.25">
      <c r="A82" s="1">
        <v>41364</v>
      </c>
      <c r="B82" s="1">
        <v>42277</v>
      </c>
      <c r="C82">
        <v>10</v>
      </c>
      <c r="D82">
        <v>5977.1088170000003</v>
      </c>
      <c r="E82">
        <v>0</v>
      </c>
      <c r="F82" s="1" t="str">
        <f t="shared" si="1"/>
        <v>201303</v>
      </c>
    </row>
    <row r="83" spans="1:6" x14ac:dyDescent="0.25">
      <c r="A83" s="1">
        <v>41364</v>
      </c>
      <c r="B83" s="1">
        <v>42369</v>
      </c>
      <c r="C83">
        <v>11</v>
      </c>
      <c r="D83">
        <v>5955.4157269999996</v>
      </c>
      <c r="E83">
        <v>0</v>
      </c>
      <c r="F83" s="1" t="str">
        <f t="shared" si="1"/>
        <v>201303</v>
      </c>
    </row>
    <row r="84" spans="1:6" x14ac:dyDescent="0.25">
      <c r="A84" s="1">
        <v>41364</v>
      </c>
      <c r="B84" s="1">
        <v>42460</v>
      </c>
      <c r="C84">
        <v>12</v>
      </c>
      <c r="D84">
        <v>6004.4983769999999</v>
      </c>
      <c r="E84">
        <v>0</v>
      </c>
      <c r="F84" s="1" t="str">
        <f t="shared" si="1"/>
        <v>201303</v>
      </c>
    </row>
    <row r="85" spans="1:6" x14ac:dyDescent="0.25">
      <c r="A85" s="1">
        <v>41364</v>
      </c>
      <c r="B85" s="1">
        <v>42551</v>
      </c>
      <c r="C85">
        <v>13</v>
      </c>
      <c r="D85">
        <v>6077.2969439999997</v>
      </c>
      <c r="E85">
        <v>0</v>
      </c>
      <c r="F85" s="1" t="str">
        <f t="shared" si="1"/>
        <v>201303</v>
      </c>
    </row>
    <row r="86" spans="1:6" x14ac:dyDescent="0.25">
      <c r="A86" s="1">
        <v>41364</v>
      </c>
      <c r="B86" s="1">
        <v>42643</v>
      </c>
      <c r="C86">
        <v>14</v>
      </c>
      <c r="D86">
        <v>6227.9744010000004</v>
      </c>
      <c r="E86">
        <v>0</v>
      </c>
      <c r="F86" s="1" t="str">
        <f t="shared" si="1"/>
        <v>201303</v>
      </c>
    </row>
    <row r="87" spans="1:6" x14ac:dyDescent="0.25">
      <c r="A87" s="1">
        <v>41364</v>
      </c>
      <c r="B87" s="1">
        <v>42735</v>
      </c>
      <c r="C87">
        <v>15</v>
      </c>
      <c r="D87">
        <v>6501.9281279999996</v>
      </c>
      <c r="E87">
        <v>0</v>
      </c>
      <c r="F87" s="1" t="str">
        <f t="shared" si="1"/>
        <v>201303</v>
      </c>
    </row>
    <row r="88" spans="1:6" x14ac:dyDescent="0.25">
      <c r="A88" s="1">
        <v>41364</v>
      </c>
      <c r="B88" s="1">
        <v>42825</v>
      </c>
      <c r="C88">
        <v>16</v>
      </c>
      <c r="D88">
        <v>6590.2234200000003</v>
      </c>
      <c r="E88">
        <v>0</v>
      </c>
      <c r="F88" s="1" t="str">
        <f t="shared" si="1"/>
        <v>201303</v>
      </c>
    </row>
    <row r="89" spans="1:6" x14ac:dyDescent="0.25">
      <c r="A89" s="1">
        <v>41364</v>
      </c>
      <c r="B89" s="1">
        <v>42916</v>
      </c>
      <c r="C89">
        <v>17</v>
      </c>
      <c r="D89">
        <v>6602.7091529999998</v>
      </c>
      <c r="E89">
        <v>0</v>
      </c>
      <c r="F89" s="1" t="str">
        <f t="shared" si="1"/>
        <v>201303</v>
      </c>
    </row>
    <row r="90" spans="1:6" x14ac:dyDescent="0.25">
      <c r="A90" s="1">
        <v>41364</v>
      </c>
      <c r="B90" s="1">
        <v>43008</v>
      </c>
      <c r="C90">
        <v>18</v>
      </c>
      <c r="D90">
        <v>7606.7643850000004</v>
      </c>
      <c r="E90">
        <v>0</v>
      </c>
      <c r="F90" s="1" t="str">
        <f t="shared" si="1"/>
        <v>201303</v>
      </c>
    </row>
    <row r="91" spans="1:6" x14ac:dyDescent="0.25">
      <c r="A91" s="1">
        <v>41364</v>
      </c>
      <c r="B91" s="1">
        <v>43100</v>
      </c>
      <c r="C91">
        <v>19</v>
      </c>
      <c r="D91">
        <v>7754.2564679999996</v>
      </c>
      <c r="E91">
        <v>0</v>
      </c>
      <c r="F91" s="1" t="str">
        <f t="shared" si="1"/>
        <v>201303</v>
      </c>
    </row>
    <row r="92" spans="1:6" x14ac:dyDescent="0.25">
      <c r="A92" s="1">
        <v>41364</v>
      </c>
      <c r="B92" s="1">
        <v>43190</v>
      </c>
      <c r="C92">
        <v>20</v>
      </c>
      <c r="D92">
        <v>7754.2564679999996</v>
      </c>
      <c r="E92">
        <v>0</v>
      </c>
      <c r="F92" s="1" t="str">
        <f t="shared" si="1"/>
        <v>201303</v>
      </c>
    </row>
    <row r="93" spans="1:6" x14ac:dyDescent="0.25">
      <c r="A93" s="1">
        <v>41455</v>
      </c>
      <c r="B93" s="1">
        <v>42094</v>
      </c>
      <c r="C93">
        <v>7</v>
      </c>
      <c r="D93">
        <v>10614.361279999999</v>
      </c>
      <c r="E93">
        <v>0</v>
      </c>
      <c r="F93" s="1" t="str">
        <f t="shared" si="1"/>
        <v>201306</v>
      </c>
    </row>
    <row r="94" spans="1:6" x14ac:dyDescent="0.25">
      <c r="A94" s="1">
        <v>41455</v>
      </c>
      <c r="B94" s="1">
        <v>42185</v>
      </c>
      <c r="C94">
        <v>8</v>
      </c>
      <c r="D94">
        <v>11270.87369</v>
      </c>
      <c r="E94">
        <v>0</v>
      </c>
      <c r="F94" s="1" t="str">
        <f t="shared" si="1"/>
        <v>201306</v>
      </c>
    </row>
    <row r="95" spans="1:6" x14ac:dyDescent="0.25">
      <c r="A95" s="1">
        <v>41455</v>
      </c>
      <c r="B95" s="1">
        <v>42277</v>
      </c>
      <c r="C95">
        <v>9</v>
      </c>
      <c r="D95">
        <v>11901.05445</v>
      </c>
      <c r="E95">
        <v>0</v>
      </c>
      <c r="F95" s="1" t="str">
        <f t="shared" si="1"/>
        <v>201306</v>
      </c>
    </row>
    <row r="96" spans="1:6" x14ac:dyDescent="0.25">
      <c r="A96" s="1">
        <v>41455</v>
      </c>
      <c r="B96" s="1">
        <v>42369</v>
      </c>
      <c r="C96">
        <v>10</v>
      </c>
      <c r="D96">
        <v>11493.187169999999</v>
      </c>
      <c r="E96">
        <v>0</v>
      </c>
      <c r="F96" s="1" t="str">
        <f t="shared" si="1"/>
        <v>201306</v>
      </c>
    </row>
    <row r="97" spans="1:6" x14ac:dyDescent="0.25">
      <c r="A97" s="1">
        <v>41455</v>
      </c>
      <c r="B97" s="1">
        <v>42460</v>
      </c>
      <c r="C97">
        <v>11</v>
      </c>
      <c r="D97">
        <v>11492.571019999999</v>
      </c>
      <c r="E97">
        <v>0</v>
      </c>
      <c r="F97" s="1" t="str">
        <f t="shared" si="1"/>
        <v>201306</v>
      </c>
    </row>
    <row r="98" spans="1:6" x14ac:dyDescent="0.25">
      <c r="A98" s="1">
        <v>41455</v>
      </c>
      <c r="B98" s="1">
        <v>42551</v>
      </c>
      <c r="C98">
        <v>12</v>
      </c>
      <c r="D98">
        <v>11778.18507</v>
      </c>
      <c r="E98">
        <v>0</v>
      </c>
      <c r="F98" s="1" t="str">
        <f t="shared" si="1"/>
        <v>201306</v>
      </c>
    </row>
    <row r="99" spans="1:6" x14ac:dyDescent="0.25">
      <c r="A99" s="1">
        <v>41455</v>
      </c>
      <c r="B99" s="1">
        <v>42643</v>
      </c>
      <c r="C99">
        <v>13</v>
      </c>
      <c r="D99">
        <v>11795.65812</v>
      </c>
      <c r="E99">
        <v>0</v>
      </c>
      <c r="F99" s="1" t="str">
        <f t="shared" si="1"/>
        <v>201306</v>
      </c>
    </row>
    <row r="100" spans="1:6" x14ac:dyDescent="0.25">
      <c r="A100" s="1">
        <v>41455</v>
      </c>
      <c r="B100" s="1">
        <v>42735</v>
      </c>
      <c r="C100">
        <v>14</v>
      </c>
      <c r="D100">
        <v>11238.04342</v>
      </c>
      <c r="E100">
        <v>0</v>
      </c>
      <c r="F100" s="1" t="str">
        <f t="shared" si="1"/>
        <v>201306</v>
      </c>
    </row>
    <row r="101" spans="1:6" x14ac:dyDescent="0.25">
      <c r="A101" s="1">
        <v>41455</v>
      </c>
      <c r="B101" s="1">
        <v>42825</v>
      </c>
      <c r="C101">
        <v>15</v>
      </c>
      <c r="D101">
        <v>11358.48308</v>
      </c>
      <c r="E101">
        <v>0</v>
      </c>
      <c r="F101" s="1" t="str">
        <f t="shared" si="1"/>
        <v>201306</v>
      </c>
    </row>
    <row r="102" spans="1:6" x14ac:dyDescent="0.25">
      <c r="A102" s="1">
        <v>41455</v>
      </c>
      <c r="B102" s="1">
        <v>42916</v>
      </c>
      <c r="C102">
        <v>16</v>
      </c>
      <c r="D102">
        <v>11098.735650000001</v>
      </c>
      <c r="E102">
        <v>0</v>
      </c>
      <c r="F102" s="1" t="str">
        <f t="shared" si="1"/>
        <v>201306</v>
      </c>
    </row>
    <row r="103" spans="1:6" x14ac:dyDescent="0.25">
      <c r="A103" s="1">
        <v>41455</v>
      </c>
      <c r="B103" s="1">
        <v>43008</v>
      </c>
      <c r="C103">
        <v>17</v>
      </c>
      <c r="D103">
        <v>11107.071099999999</v>
      </c>
      <c r="E103">
        <v>0</v>
      </c>
      <c r="F103" s="1" t="str">
        <f t="shared" si="1"/>
        <v>201306</v>
      </c>
    </row>
    <row r="104" spans="1:6" x14ac:dyDescent="0.25">
      <c r="A104" s="1">
        <v>41455</v>
      </c>
      <c r="B104" s="1">
        <v>43100</v>
      </c>
      <c r="C104">
        <v>18</v>
      </c>
      <c r="D104">
        <v>11450.114869999999</v>
      </c>
      <c r="E104">
        <v>0</v>
      </c>
      <c r="F104" s="1" t="str">
        <f t="shared" si="1"/>
        <v>201306</v>
      </c>
    </row>
    <row r="105" spans="1:6" x14ac:dyDescent="0.25">
      <c r="A105" s="1">
        <v>41455</v>
      </c>
      <c r="B105" s="1">
        <v>43190</v>
      </c>
      <c r="C105">
        <v>19</v>
      </c>
      <c r="D105">
        <v>11413.3087</v>
      </c>
      <c r="E105">
        <v>0</v>
      </c>
      <c r="F105" s="1" t="str">
        <f t="shared" si="1"/>
        <v>201306</v>
      </c>
    </row>
    <row r="106" spans="1:6" x14ac:dyDescent="0.25">
      <c r="A106" s="1">
        <v>41455</v>
      </c>
      <c r="B106" s="1">
        <v>43281</v>
      </c>
      <c r="C106">
        <v>20</v>
      </c>
      <c r="D106">
        <v>11607.407209999999</v>
      </c>
      <c r="E106">
        <v>0</v>
      </c>
      <c r="F106" s="1" t="str">
        <f t="shared" si="1"/>
        <v>201306</v>
      </c>
    </row>
    <row r="107" spans="1:6" x14ac:dyDescent="0.25">
      <c r="A107" s="1">
        <v>41547</v>
      </c>
      <c r="B107" s="1">
        <v>42094</v>
      </c>
      <c r="C107">
        <v>6</v>
      </c>
      <c r="D107">
        <v>4882.154192</v>
      </c>
      <c r="E107">
        <v>0</v>
      </c>
      <c r="F107" s="1" t="str">
        <f t="shared" si="1"/>
        <v>201309</v>
      </c>
    </row>
    <row r="108" spans="1:6" x14ac:dyDescent="0.25">
      <c r="A108" s="1">
        <v>41547</v>
      </c>
      <c r="B108" s="1">
        <v>42185</v>
      </c>
      <c r="C108">
        <v>7</v>
      </c>
      <c r="D108">
        <v>4970.0774689999998</v>
      </c>
      <c r="E108">
        <v>0</v>
      </c>
      <c r="F108" s="1" t="str">
        <f t="shared" si="1"/>
        <v>201309</v>
      </c>
    </row>
    <row r="109" spans="1:6" x14ac:dyDescent="0.25">
      <c r="A109" s="1">
        <v>41547</v>
      </c>
      <c r="B109" s="1">
        <v>42277</v>
      </c>
      <c r="C109">
        <v>8</v>
      </c>
      <c r="D109">
        <v>4877.0738700000002</v>
      </c>
      <c r="E109">
        <v>0</v>
      </c>
      <c r="F109" s="1" t="str">
        <f t="shared" si="1"/>
        <v>201309</v>
      </c>
    </row>
    <row r="110" spans="1:6" x14ac:dyDescent="0.25">
      <c r="A110" s="1">
        <v>41547</v>
      </c>
      <c r="B110" s="1">
        <v>42369</v>
      </c>
      <c r="C110">
        <v>9</v>
      </c>
      <c r="D110">
        <v>5969.3778929999999</v>
      </c>
      <c r="E110">
        <v>0</v>
      </c>
      <c r="F110" s="1" t="str">
        <f t="shared" si="1"/>
        <v>201309</v>
      </c>
    </row>
    <row r="111" spans="1:6" x14ac:dyDescent="0.25">
      <c r="A111" s="1">
        <v>41547</v>
      </c>
      <c r="B111" s="1">
        <v>42460</v>
      </c>
      <c r="C111">
        <v>10</v>
      </c>
      <c r="D111">
        <v>6023.1572239999996</v>
      </c>
      <c r="E111">
        <v>0</v>
      </c>
      <c r="F111" s="1" t="str">
        <f t="shared" si="1"/>
        <v>201309</v>
      </c>
    </row>
    <row r="112" spans="1:6" x14ac:dyDescent="0.25">
      <c r="A112" s="1">
        <v>41547</v>
      </c>
      <c r="B112" s="1">
        <v>42551</v>
      </c>
      <c r="C112">
        <v>11</v>
      </c>
      <c r="D112">
        <v>6167.7196940000003</v>
      </c>
      <c r="E112">
        <v>0</v>
      </c>
      <c r="F112" s="1" t="str">
        <f t="shared" si="1"/>
        <v>201309</v>
      </c>
    </row>
    <row r="113" spans="1:6" x14ac:dyDescent="0.25">
      <c r="A113" s="1">
        <v>41547</v>
      </c>
      <c r="B113" s="1">
        <v>42643</v>
      </c>
      <c r="C113">
        <v>12</v>
      </c>
      <c r="D113">
        <v>6383.5577970000004</v>
      </c>
      <c r="E113">
        <v>0</v>
      </c>
      <c r="F113" s="1" t="str">
        <f t="shared" si="1"/>
        <v>201309</v>
      </c>
    </row>
    <row r="114" spans="1:6" x14ac:dyDescent="0.25">
      <c r="A114" s="1">
        <v>41547</v>
      </c>
      <c r="B114" s="1">
        <v>42735</v>
      </c>
      <c r="C114">
        <v>13</v>
      </c>
      <c r="D114">
        <v>7814.5111749999996</v>
      </c>
      <c r="E114">
        <v>0</v>
      </c>
      <c r="F114" s="1" t="str">
        <f t="shared" si="1"/>
        <v>201309</v>
      </c>
    </row>
    <row r="115" spans="1:6" x14ac:dyDescent="0.25">
      <c r="A115" s="1">
        <v>41547</v>
      </c>
      <c r="B115" s="1">
        <v>42825</v>
      </c>
      <c r="C115">
        <v>14</v>
      </c>
      <c r="D115">
        <v>7804.3621569999996</v>
      </c>
      <c r="E115">
        <v>0</v>
      </c>
      <c r="F115" s="1" t="str">
        <f t="shared" si="1"/>
        <v>201309</v>
      </c>
    </row>
    <row r="116" spans="1:6" x14ac:dyDescent="0.25">
      <c r="A116" s="1">
        <v>41547</v>
      </c>
      <c r="B116" s="1">
        <v>42916</v>
      </c>
      <c r="C116">
        <v>15</v>
      </c>
      <c r="D116">
        <v>7262.1627989999997</v>
      </c>
      <c r="E116">
        <v>0</v>
      </c>
      <c r="F116" s="1" t="str">
        <f t="shared" si="1"/>
        <v>201309</v>
      </c>
    </row>
    <row r="117" spans="1:6" x14ac:dyDescent="0.25">
      <c r="A117" s="1">
        <v>41547</v>
      </c>
      <c r="B117" s="1">
        <v>43008</v>
      </c>
      <c r="C117">
        <v>16</v>
      </c>
      <c r="D117">
        <v>8047.0783009999996</v>
      </c>
      <c r="E117">
        <v>0</v>
      </c>
      <c r="F117" s="1" t="str">
        <f t="shared" si="1"/>
        <v>201309</v>
      </c>
    </row>
    <row r="118" spans="1:6" x14ac:dyDescent="0.25">
      <c r="A118" s="1">
        <v>41547</v>
      </c>
      <c r="B118" s="1">
        <v>43100</v>
      </c>
      <c r="C118">
        <v>17</v>
      </c>
      <c r="D118">
        <v>8041.8468480000001</v>
      </c>
      <c r="E118">
        <v>0</v>
      </c>
      <c r="F118" s="1" t="str">
        <f t="shared" si="1"/>
        <v>201309</v>
      </c>
    </row>
    <row r="119" spans="1:6" x14ac:dyDescent="0.25">
      <c r="A119" s="1">
        <v>41547</v>
      </c>
      <c r="B119" s="1">
        <v>43190</v>
      </c>
      <c r="C119">
        <v>18</v>
      </c>
      <c r="D119">
        <v>8288.3180119999997</v>
      </c>
      <c r="E119">
        <v>0</v>
      </c>
      <c r="F119" s="1" t="str">
        <f t="shared" si="1"/>
        <v>201309</v>
      </c>
    </row>
    <row r="120" spans="1:6" x14ac:dyDescent="0.25">
      <c r="A120" s="1">
        <v>41547</v>
      </c>
      <c r="B120" s="1">
        <v>43281</v>
      </c>
      <c r="C120">
        <v>19</v>
      </c>
      <c r="D120">
        <v>8340.237271</v>
      </c>
      <c r="E120">
        <v>0</v>
      </c>
      <c r="F120" s="1" t="str">
        <f t="shared" si="1"/>
        <v>201309</v>
      </c>
    </row>
    <row r="121" spans="1:6" x14ac:dyDescent="0.25">
      <c r="A121" s="1">
        <v>41547</v>
      </c>
      <c r="B121" s="1">
        <v>43373</v>
      </c>
      <c r="C121">
        <v>20</v>
      </c>
      <c r="D121">
        <v>8329.8092429999997</v>
      </c>
      <c r="E121">
        <v>0</v>
      </c>
      <c r="F121" s="1" t="str">
        <f t="shared" si="1"/>
        <v>201309</v>
      </c>
    </row>
    <row r="122" spans="1:6" x14ac:dyDescent="0.25">
      <c r="A122" s="1">
        <v>41639</v>
      </c>
      <c r="B122" s="1">
        <v>42094</v>
      </c>
      <c r="C122">
        <v>5</v>
      </c>
      <c r="D122">
        <v>7356.6312049999997</v>
      </c>
      <c r="E122">
        <v>0</v>
      </c>
      <c r="F122" s="1" t="str">
        <f t="shared" si="1"/>
        <v>201312</v>
      </c>
    </row>
    <row r="123" spans="1:6" x14ac:dyDescent="0.25">
      <c r="A123" s="1">
        <v>41639</v>
      </c>
      <c r="B123" s="1">
        <v>42185</v>
      </c>
      <c r="C123">
        <v>6</v>
      </c>
      <c r="D123">
        <v>7117.6933330000002</v>
      </c>
      <c r="E123">
        <v>0</v>
      </c>
      <c r="F123" s="1" t="str">
        <f t="shared" si="1"/>
        <v>201312</v>
      </c>
    </row>
    <row r="124" spans="1:6" x14ac:dyDescent="0.25">
      <c r="A124" s="1">
        <v>41639</v>
      </c>
      <c r="B124" s="1">
        <v>42277</v>
      </c>
      <c r="C124">
        <v>7</v>
      </c>
      <c r="D124">
        <v>7671.2507560000004</v>
      </c>
      <c r="E124">
        <v>0</v>
      </c>
      <c r="F124" s="1" t="str">
        <f t="shared" si="1"/>
        <v>201312</v>
      </c>
    </row>
    <row r="125" spans="1:6" x14ac:dyDescent="0.25">
      <c r="A125" s="1">
        <v>41639</v>
      </c>
      <c r="B125" s="1">
        <v>42369</v>
      </c>
      <c r="C125">
        <v>8</v>
      </c>
      <c r="D125">
        <v>7983.9056060000003</v>
      </c>
      <c r="E125">
        <v>0</v>
      </c>
      <c r="F125" s="1" t="str">
        <f t="shared" si="1"/>
        <v>201312</v>
      </c>
    </row>
    <row r="126" spans="1:6" x14ac:dyDescent="0.25">
      <c r="A126" s="1">
        <v>41639</v>
      </c>
      <c r="B126" s="1">
        <v>42460</v>
      </c>
      <c r="C126">
        <v>9</v>
      </c>
      <c r="D126">
        <v>8775.8312540000006</v>
      </c>
      <c r="E126">
        <v>0</v>
      </c>
      <c r="F126" s="1" t="str">
        <f t="shared" si="1"/>
        <v>201312</v>
      </c>
    </row>
    <row r="127" spans="1:6" x14ac:dyDescent="0.25">
      <c r="A127" s="1">
        <v>41639</v>
      </c>
      <c r="B127" s="1">
        <v>42551</v>
      </c>
      <c r="C127">
        <v>10</v>
      </c>
      <c r="D127">
        <v>9575.2785679999997</v>
      </c>
      <c r="E127">
        <v>0</v>
      </c>
      <c r="F127" s="1" t="str">
        <f t="shared" si="1"/>
        <v>201312</v>
      </c>
    </row>
    <row r="128" spans="1:6" x14ac:dyDescent="0.25">
      <c r="A128" s="1">
        <v>41639</v>
      </c>
      <c r="B128" s="1">
        <v>42643</v>
      </c>
      <c r="C128">
        <v>11</v>
      </c>
      <c r="D128">
        <v>9614.8515989999996</v>
      </c>
      <c r="E128">
        <v>0</v>
      </c>
      <c r="F128" s="1" t="str">
        <f t="shared" si="1"/>
        <v>201312</v>
      </c>
    </row>
    <row r="129" spans="1:6" x14ac:dyDescent="0.25">
      <c r="A129" s="1">
        <v>41639</v>
      </c>
      <c r="B129" s="1">
        <v>42735</v>
      </c>
      <c r="C129">
        <v>12</v>
      </c>
      <c r="D129">
        <v>9884.143521</v>
      </c>
      <c r="E129">
        <v>0</v>
      </c>
      <c r="F129" s="1" t="str">
        <f t="shared" si="1"/>
        <v>201312</v>
      </c>
    </row>
    <row r="130" spans="1:6" x14ac:dyDescent="0.25">
      <c r="A130" s="1">
        <v>41639</v>
      </c>
      <c r="B130" s="1">
        <v>42825</v>
      </c>
      <c r="C130">
        <v>13</v>
      </c>
      <c r="D130">
        <v>9907.8826900000004</v>
      </c>
      <c r="E130">
        <v>0</v>
      </c>
      <c r="F130" s="1" t="str">
        <f t="shared" si="1"/>
        <v>201312</v>
      </c>
    </row>
    <row r="131" spans="1:6" x14ac:dyDescent="0.25">
      <c r="A131" s="1">
        <v>41639</v>
      </c>
      <c r="B131" s="1">
        <v>42916</v>
      </c>
      <c r="C131">
        <v>14</v>
      </c>
      <c r="D131">
        <v>7871.1271159999997</v>
      </c>
      <c r="E131">
        <v>0</v>
      </c>
      <c r="F131" s="1" t="str">
        <f t="shared" ref="F131:F194" si="2">YEAR(A131)&amp;IF(LEN(MONTH(A131))=1,"0"&amp;MONTH(A131),MONTH(A131))</f>
        <v>201312</v>
      </c>
    </row>
    <row r="132" spans="1:6" x14ac:dyDescent="0.25">
      <c r="A132" s="1">
        <v>41639</v>
      </c>
      <c r="B132" s="1">
        <v>43008</v>
      </c>
      <c r="C132">
        <v>15</v>
      </c>
      <c r="D132">
        <v>8005.0290480000003</v>
      </c>
      <c r="E132">
        <v>0</v>
      </c>
      <c r="F132" s="1" t="str">
        <f t="shared" si="2"/>
        <v>201312</v>
      </c>
    </row>
    <row r="133" spans="1:6" x14ac:dyDescent="0.25">
      <c r="A133" s="1">
        <v>41639</v>
      </c>
      <c r="B133" s="1">
        <v>43100</v>
      </c>
      <c r="C133">
        <v>16</v>
      </c>
      <c r="D133">
        <v>7982.185039</v>
      </c>
      <c r="E133">
        <v>0</v>
      </c>
      <c r="F133" s="1" t="str">
        <f t="shared" si="2"/>
        <v>201312</v>
      </c>
    </row>
    <row r="134" spans="1:6" x14ac:dyDescent="0.25">
      <c r="A134" s="1">
        <v>41639</v>
      </c>
      <c r="B134" s="1">
        <v>43190</v>
      </c>
      <c r="C134">
        <v>17</v>
      </c>
      <c r="D134">
        <v>7897.8424000000005</v>
      </c>
      <c r="E134">
        <v>0</v>
      </c>
      <c r="F134" s="1" t="str">
        <f t="shared" si="2"/>
        <v>201312</v>
      </c>
    </row>
    <row r="135" spans="1:6" x14ac:dyDescent="0.25">
      <c r="A135" s="1">
        <v>41639</v>
      </c>
      <c r="B135" s="1">
        <v>43281</v>
      </c>
      <c r="C135">
        <v>18</v>
      </c>
      <c r="D135">
        <v>7899.5978429999996</v>
      </c>
      <c r="E135">
        <v>0</v>
      </c>
      <c r="F135" s="1" t="str">
        <f t="shared" si="2"/>
        <v>201312</v>
      </c>
    </row>
    <row r="136" spans="1:6" x14ac:dyDescent="0.25">
      <c r="A136" s="1">
        <v>41639</v>
      </c>
      <c r="B136" s="1">
        <v>43373</v>
      </c>
      <c r="C136">
        <v>19</v>
      </c>
      <c r="D136">
        <v>7894.4477690000003</v>
      </c>
      <c r="E136">
        <v>0</v>
      </c>
      <c r="F136" s="1" t="str">
        <f t="shared" si="2"/>
        <v>201312</v>
      </c>
    </row>
    <row r="137" spans="1:6" x14ac:dyDescent="0.25">
      <c r="A137" s="1">
        <v>41639</v>
      </c>
      <c r="B137" s="1">
        <v>43465</v>
      </c>
      <c r="C137">
        <v>20</v>
      </c>
      <c r="D137">
        <v>7732.2378660000004</v>
      </c>
      <c r="E137">
        <v>0</v>
      </c>
      <c r="F137" s="1" t="str">
        <f t="shared" si="2"/>
        <v>201312</v>
      </c>
    </row>
    <row r="138" spans="1:6" x14ac:dyDescent="0.25">
      <c r="A138" s="1">
        <v>41729</v>
      </c>
      <c r="B138" s="1">
        <v>42094</v>
      </c>
      <c r="C138">
        <v>4</v>
      </c>
      <c r="D138">
        <v>5070.7771160000002</v>
      </c>
      <c r="E138">
        <v>0</v>
      </c>
      <c r="F138" s="1" t="str">
        <f t="shared" si="2"/>
        <v>201403</v>
      </c>
    </row>
    <row r="139" spans="1:6" x14ac:dyDescent="0.25">
      <c r="A139" s="1">
        <v>41729</v>
      </c>
      <c r="B139" s="1">
        <v>42185</v>
      </c>
      <c r="C139">
        <v>5</v>
      </c>
      <c r="D139">
        <v>5653.8399310000004</v>
      </c>
      <c r="E139">
        <v>0</v>
      </c>
      <c r="F139" s="1" t="str">
        <f t="shared" si="2"/>
        <v>201403</v>
      </c>
    </row>
    <row r="140" spans="1:6" x14ac:dyDescent="0.25">
      <c r="A140" s="1">
        <v>41729</v>
      </c>
      <c r="B140" s="1">
        <v>42277</v>
      </c>
      <c r="C140">
        <v>6</v>
      </c>
      <c r="D140">
        <v>6389.2658929999998</v>
      </c>
      <c r="E140">
        <v>0</v>
      </c>
      <c r="F140" s="1" t="str">
        <f t="shared" si="2"/>
        <v>201403</v>
      </c>
    </row>
    <row r="141" spans="1:6" x14ac:dyDescent="0.25">
      <c r="A141" s="1">
        <v>41729</v>
      </c>
      <c r="B141" s="1">
        <v>42369</v>
      </c>
      <c r="C141">
        <v>7</v>
      </c>
      <c r="D141">
        <v>7468.1308950000002</v>
      </c>
      <c r="E141">
        <v>0</v>
      </c>
      <c r="F141" s="1" t="str">
        <f t="shared" si="2"/>
        <v>201403</v>
      </c>
    </row>
    <row r="142" spans="1:6" x14ac:dyDescent="0.25">
      <c r="A142" s="1">
        <v>41729</v>
      </c>
      <c r="B142" s="1">
        <v>42460</v>
      </c>
      <c r="C142">
        <v>8</v>
      </c>
      <c r="D142">
        <v>7458.2260120000001</v>
      </c>
      <c r="E142">
        <v>0</v>
      </c>
      <c r="F142" s="1" t="str">
        <f t="shared" si="2"/>
        <v>201403</v>
      </c>
    </row>
    <row r="143" spans="1:6" x14ac:dyDescent="0.25">
      <c r="A143" s="1">
        <v>41729</v>
      </c>
      <c r="B143" s="1">
        <v>42551</v>
      </c>
      <c r="C143">
        <v>9</v>
      </c>
      <c r="D143">
        <v>7303.2936410000002</v>
      </c>
      <c r="E143">
        <v>0</v>
      </c>
      <c r="F143" s="1" t="str">
        <f t="shared" si="2"/>
        <v>201403</v>
      </c>
    </row>
    <row r="144" spans="1:6" x14ac:dyDescent="0.25">
      <c r="A144" s="1">
        <v>41729</v>
      </c>
      <c r="B144" s="1">
        <v>42643</v>
      </c>
      <c r="C144">
        <v>10</v>
      </c>
      <c r="D144">
        <v>7229.9835540000004</v>
      </c>
      <c r="E144">
        <v>0</v>
      </c>
      <c r="F144" s="1" t="str">
        <f t="shared" si="2"/>
        <v>201403</v>
      </c>
    </row>
    <row r="145" spans="1:6" x14ac:dyDescent="0.25">
      <c r="A145" s="1">
        <v>41729</v>
      </c>
      <c r="B145" s="1">
        <v>42735</v>
      </c>
      <c r="C145">
        <v>11</v>
      </c>
      <c r="D145">
        <v>7365.8269360000004</v>
      </c>
      <c r="E145">
        <v>0</v>
      </c>
      <c r="F145" s="1" t="str">
        <f t="shared" si="2"/>
        <v>201403</v>
      </c>
    </row>
    <row r="146" spans="1:6" x14ac:dyDescent="0.25">
      <c r="A146" s="1">
        <v>41729</v>
      </c>
      <c r="B146" s="1">
        <v>42825</v>
      </c>
      <c r="C146">
        <v>12</v>
      </c>
      <c r="D146">
        <v>7498.2640609999999</v>
      </c>
      <c r="E146">
        <v>0</v>
      </c>
      <c r="F146" s="1" t="str">
        <f t="shared" si="2"/>
        <v>201403</v>
      </c>
    </row>
    <row r="147" spans="1:6" x14ac:dyDescent="0.25">
      <c r="A147" s="1">
        <v>41729</v>
      </c>
      <c r="B147" s="1">
        <v>42916</v>
      </c>
      <c r="C147">
        <v>13</v>
      </c>
      <c r="D147">
        <v>8081.2454980000002</v>
      </c>
      <c r="E147">
        <v>0</v>
      </c>
      <c r="F147" s="1" t="str">
        <f t="shared" si="2"/>
        <v>201403</v>
      </c>
    </row>
    <row r="148" spans="1:6" x14ac:dyDescent="0.25">
      <c r="A148" s="1">
        <v>41729</v>
      </c>
      <c r="B148" s="1">
        <v>43008</v>
      </c>
      <c r="C148">
        <v>14</v>
      </c>
      <c r="D148">
        <v>8312.6849550000006</v>
      </c>
      <c r="E148">
        <v>0</v>
      </c>
      <c r="F148" s="1" t="str">
        <f t="shared" si="2"/>
        <v>201403</v>
      </c>
    </row>
    <row r="149" spans="1:6" x14ac:dyDescent="0.25">
      <c r="A149" s="1">
        <v>41729</v>
      </c>
      <c r="B149" s="1">
        <v>43100</v>
      </c>
      <c r="C149">
        <v>15</v>
      </c>
      <c r="D149">
        <v>8778.7027400000006</v>
      </c>
      <c r="E149">
        <v>0</v>
      </c>
      <c r="F149" s="1" t="str">
        <f t="shared" si="2"/>
        <v>201403</v>
      </c>
    </row>
    <row r="150" spans="1:6" x14ac:dyDescent="0.25">
      <c r="A150" s="1">
        <v>41729</v>
      </c>
      <c r="B150" s="1">
        <v>43190</v>
      </c>
      <c r="C150">
        <v>16</v>
      </c>
      <c r="D150">
        <v>8854.4657970000007</v>
      </c>
      <c r="E150">
        <v>0</v>
      </c>
      <c r="F150" s="1" t="str">
        <f t="shared" si="2"/>
        <v>201403</v>
      </c>
    </row>
    <row r="151" spans="1:6" x14ac:dyDescent="0.25">
      <c r="A151" s="1">
        <v>41729</v>
      </c>
      <c r="B151" s="1">
        <v>43281</v>
      </c>
      <c r="C151">
        <v>17</v>
      </c>
      <c r="D151">
        <v>9395.5839890000007</v>
      </c>
      <c r="E151">
        <v>0</v>
      </c>
      <c r="F151" s="1" t="str">
        <f t="shared" si="2"/>
        <v>201403</v>
      </c>
    </row>
    <row r="152" spans="1:6" x14ac:dyDescent="0.25">
      <c r="A152" s="1">
        <v>41729</v>
      </c>
      <c r="B152" s="1">
        <v>43373</v>
      </c>
      <c r="C152">
        <v>18</v>
      </c>
      <c r="D152">
        <v>9567.4313889999994</v>
      </c>
      <c r="E152">
        <v>0</v>
      </c>
      <c r="F152" s="1" t="str">
        <f t="shared" si="2"/>
        <v>201403</v>
      </c>
    </row>
    <row r="153" spans="1:6" x14ac:dyDescent="0.25">
      <c r="A153" s="1">
        <v>41729</v>
      </c>
      <c r="B153" s="1">
        <v>43465</v>
      </c>
      <c r="C153">
        <v>19</v>
      </c>
      <c r="D153">
        <v>10067.058349999999</v>
      </c>
      <c r="E153">
        <v>0</v>
      </c>
      <c r="F153" s="1" t="str">
        <f t="shared" si="2"/>
        <v>201403</v>
      </c>
    </row>
    <row r="154" spans="1:6" x14ac:dyDescent="0.25">
      <c r="A154" s="1">
        <v>41729</v>
      </c>
      <c r="B154" s="1">
        <v>43555</v>
      </c>
      <c r="C154">
        <v>20</v>
      </c>
      <c r="D154">
        <v>10907.65976</v>
      </c>
      <c r="E154">
        <v>0</v>
      </c>
      <c r="F154" s="1" t="str">
        <f t="shared" si="2"/>
        <v>201403</v>
      </c>
    </row>
    <row r="155" spans="1:6" x14ac:dyDescent="0.25">
      <c r="A155" s="1">
        <v>41820</v>
      </c>
      <c r="B155" s="1">
        <v>42094</v>
      </c>
      <c r="C155">
        <v>3</v>
      </c>
      <c r="D155">
        <v>10026.346020000001</v>
      </c>
      <c r="E155">
        <v>0</v>
      </c>
      <c r="F155" s="1" t="str">
        <f t="shared" si="2"/>
        <v>201406</v>
      </c>
    </row>
    <row r="156" spans="1:6" x14ac:dyDescent="0.25">
      <c r="A156" s="1">
        <v>41820</v>
      </c>
      <c r="B156" s="1">
        <v>42185</v>
      </c>
      <c r="C156">
        <v>4</v>
      </c>
      <c r="D156">
        <v>10224.501819999999</v>
      </c>
      <c r="E156">
        <v>0</v>
      </c>
      <c r="F156" s="1" t="str">
        <f t="shared" si="2"/>
        <v>201406</v>
      </c>
    </row>
    <row r="157" spans="1:6" x14ac:dyDescent="0.25">
      <c r="A157" s="1">
        <v>41820</v>
      </c>
      <c r="B157" s="1">
        <v>42277</v>
      </c>
      <c r="C157">
        <v>5</v>
      </c>
      <c r="D157">
        <v>10712.863719999999</v>
      </c>
      <c r="E157">
        <v>0</v>
      </c>
      <c r="F157" s="1" t="str">
        <f t="shared" si="2"/>
        <v>201406</v>
      </c>
    </row>
    <row r="158" spans="1:6" x14ac:dyDescent="0.25">
      <c r="A158" s="1">
        <v>41820</v>
      </c>
      <c r="B158" s="1">
        <v>42369</v>
      </c>
      <c r="C158">
        <v>6</v>
      </c>
      <c r="D158">
        <v>11673.96291</v>
      </c>
      <c r="E158">
        <v>0</v>
      </c>
      <c r="F158" s="1" t="str">
        <f t="shared" si="2"/>
        <v>201406</v>
      </c>
    </row>
    <row r="159" spans="1:6" x14ac:dyDescent="0.25">
      <c r="A159" s="1">
        <v>41820</v>
      </c>
      <c r="B159" s="1">
        <v>42460</v>
      </c>
      <c r="C159">
        <v>7</v>
      </c>
      <c r="D159">
        <v>11833.42921</v>
      </c>
      <c r="E159">
        <v>0</v>
      </c>
      <c r="F159" s="1" t="str">
        <f t="shared" si="2"/>
        <v>201406</v>
      </c>
    </row>
    <row r="160" spans="1:6" x14ac:dyDescent="0.25">
      <c r="A160" s="1">
        <v>41820</v>
      </c>
      <c r="B160" s="1">
        <v>42551</v>
      </c>
      <c r="C160">
        <v>8</v>
      </c>
      <c r="D160">
        <v>11639.13306</v>
      </c>
      <c r="E160">
        <v>0</v>
      </c>
      <c r="F160" s="1" t="str">
        <f t="shared" si="2"/>
        <v>201406</v>
      </c>
    </row>
    <row r="161" spans="1:6" x14ac:dyDescent="0.25">
      <c r="A161" s="1">
        <v>41820</v>
      </c>
      <c r="B161" s="1">
        <v>42643</v>
      </c>
      <c r="C161">
        <v>9</v>
      </c>
      <c r="D161">
        <v>12485.36119</v>
      </c>
      <c r="E161">
        <v>0</v>
      </c>
      <c r="F161" s="1" t="str">
        <f t="shared" si="2"/>
        <v>201406</v>
      </c>
    </row>
    <row r="162" spans="1:6" x14ac:dyDescent="0.25">
      <c r="A162" s="1">
        <v>41820</v>
      </c>
      <c r="B162" s="1">
        <v>42735</v>
      </c>
      <c r="C162">
        <v>10</v>
      </c>
      <c r="D162">
        <v>12278.86995</v>
      </c>
      <c r="E162">
        <v>0</v>
      </c>
      <c r="F162" s="1" t="str">
        <f t="shared" si="2"/>
        <v>201406</v>
      </c>
    </row>
    <row r="163" spans="1:6" x14ac:dyDescent="0.25">
      <c r="A163" s="1">
        <v>41820</v>
      </c>
      <c r="B163" s="1">
        <v>42825</v>
      </c>
      <c r="C163">
        <v>11</v>
      </c>
      <c r="D163">
        <v>12327.17369</v>
      </c>
      <c r="E163">
        <v>0</v>
      </c>
      <c r="F163" s="1" t="str">
        <f t="shared" si="2"/>
        <v>201406</v>
      </c>
    </row>
    <row r="164" spans="1:6" x14ac:dyDescent="0.25">
      <c r="A164" s="1">
        <v>41820</v>
      </c>
      <c r="B164" s="1">
        <v>42916</v>
      </c>
      <c r="C164">
        <v>12</v>
      </c>
      <c r="D164">
        <v>11754.22502</v>
      </c>
      <c r="E164">
        <v>0</v>
      </c>
      <c r="F164" s="1" t="str">
        <f t="shared" si="2"/>
        <v>201406</v>
      </c>
    </row>
    <row r="165" spans="1:6" x14ac:dyDescent="0.25">
      <c r="A165" s="1">
        <v>41820</v>
      </c>
      <c r="B165" s="1">
        <v>43008</v>
      </c>
      <c r="C165">
        <v>13</v>
      </c>
      <c r="D165">
        <v>11808.58562</v>
      </c>
      <c r="E165">
        <v>0</v>
      </c>
      <c r="F165" s="1" t="str">
        <f t="shared" si="2"/>
        <v>201406</v>
      </c>
    </row>
    <row r="166" spans="1:6" x14ac:dyDescent="0.25">
      <c r="A166" s="1">
        <v>41820</v>
      </c>
      <c r="B166" s="1">
        <v>43100</v>
      </c>
      <c r="C166">
        <v>14</v>
      </c>
      <c r="D166">
        <v>11776.18549</v>
      </c>
      <c r="E166">
        <v>0</v>
      </c>
      <c r="F166" s="1" t="str">
        <f t="shared" si="2"/>
        <v>201406</v>
      </c>
    </row>
    <row r="167" spans="1:6" x14ac:dyDescent="0.25">
      <c r="A167" s="1">
        <v>41820</v>
      </c>
      <c r="B167" s="1">
        <v>43190</v>
      </c>
      <c r="C167">
        <v>15</v>
      </c>
      <c r="D167">
        <v>11853.77375</v>
      </c>
      <c r="E167">
        <v>0</v>
      </c>
      <c r="F167" s="1" t="str">
        <f t="shared" si="2"/>
        <v>201406</v>
      </c>
    </row>
    <row r="168" spans="1:6" x14ac:dyDescent="0.25">
      <c r="A168" s="1">
        <v>41820</v>
      </c>
      <c r="B168" s="1">
        <v>43281</v>
      </c>
      <c r="C168">
        <v>16</v>
      </c>
      <c r="D168">
        <v>11686.86716</v>
      </c>
      <c r="E168">
        <v>0</v>
      </c>
      <c r="F168" s="1" t="str">
        <f t="shared" si="2"/>
        <v>201406</v>
      </c>
    </row>
    <row r="169" spans="1:6" x14ac:dyDescent="0.25">
      <c r="A169" s="1">
        <v>41820</v>
      </c>
      <c r="B169" s="1">
        <v>43373</v>
      </c>
      <c r="C169">
        <v>17</v>
      </c>
      <c r="D169">
        <v>11708.781139999999</v>
      </c>
      <c r="E169">
        <v>0</v>
      </c>
      <c r="F169" s="1" t="str">
        <f t="shared" si="2"/>
        <v>201406</v>
      </c>
    </row>
    <row r="170" spans="1:6" x14ac:dyDescent="0.25">
      <c r="A170" s="1">
        <v>41820</v>
      </c>
      <c r="B170" s="1">
        <v>43465</v>
      </c>
      <c r="C170">
        <v>18</v>
      </c>
      <c r="D170">
        <v>11364.818950000001</v>
      </c>
      <c r="E170">
        <v>0</v>
      </c>
      <c r="F170" s="1" t="str">
        <f t="shared" si="2"/>
        <v>201406</v>
      </c>
    </row>
    <row r="171" spans="1:6" x14ac:dyDescent="0.25">
      <c r="A171" s="1">
        <v>41820</v>
      </c>
      <c r="B171" s="1">
        <v>43555</v>
      </c>
      <c r="C171">
        <v>19</v>
      </c>
      <c r="D171">
        <v>11469.494500000001</v>
      </c>
      <c r="E171">
        <v>0</v>
      </c>
      <c r="F171" s="1" t="str">
        <f t="shared" si="2"/>
        <v>201406</v>
      </c>
    </row>
    <row r="172" spans="1:6" x14ac:dyDescent="0.25">
      <c r="A172" s="1">
        <v>41820</v>
      </c>
      <c r="B172" s="1">
        <v>43646</v>
      </c>
      <c r="C172">
        <v>20</v>
      </c>
      <c r="D172">
        <v>10940.32727</v>
      </c>
      <c r="E172">
        <v>0</v>
      </c>
      <c r="F172" s="1" t="str">
        <f t="shared" si="2"/>
        <v>201406</v>
      </c>
    </row>
    <row r="173" spans="1:6" x14ac:dyDescent="0.25">
      <c r="A173" s="1">
        <v>41912</v>
      </c>
      <c r="B173" s="1">
        <v>42094</v>
      </c>
      <c r="C173">
        <v>2</v>
      </c>
      <c r="D173">
        <v>6178.1244710000001</v>
      </c>
      <c r="E173">
        <v>0</v>
      </c>
      <c r="F173" s="1" t="str">
        <f t="shared" si="2"/>
        <v>201409</v>
      </c>
    </row>
    <row r="174" spans="1:6" x14ac:dyDescent="0.25">
      <c r="A174" s="1">
        <v>41912</v>
      </c>
      <c r="B174" s="1">
        <v>42185</v>
      </c>
      <c r="C174">
        <v>3</v>
      </c>
      <c r="D174">
        <v>8651.0204240000003</v>
      </c>
      <c r="E174">
        <v>0</v>
      </c>
      <c r="F174" s="1" t="str">
        <f t="shared" si="2"/>
        <v>201409</v>
      </c>
    </row>
    <row r="175" spans="1:6" x14ac:dyDescent="0.25">
      <c r="A175" s="1">
        <v>41912</v>
      </c>
      <c r="B175" s="1">
        <v>42277</v>
      </c>
      <c r="C175">
        <v>4</v>
      </c>
      <c r="D175">
        <v>10214.28305</v>
      </c>
      <c r="E175">
        <v>0</v>
      </c>
      <c r="F175" s="1" t="str">
        <f t="shared" si="2"/>
        <v>201409</v>
      </c>
    </row>
    <row r="176" spans="1:6" x14ac:dyDescent="0.25">
      <c r="A176" s="1">
        <v>41912</v>
      </c>
      <c r="B176" s="1">
        <v>42369</v>
      </c>
      <c r="C176">
        <v>5</v>
      </c>
      <c r="D176">
        <v>11282.7084</v>
      </c>
      <c r="E176">
        <v>0</v>
      </c>
      <c r="F176" s="1" t="str">
        <f t="shared" si="2"/>
        <v>201409</v>
      </c>
    </row>
    <row r="177" spans="1:6" x14ac:dyDescent="0.25">
      <c r="A177" s="1">
        <v>41912</v>
      </c>
      <c r="B177" s="1">
        <v>42460</v>
      </c>
      <c r="C177">
        <v>6</v>
      </c>
      <c r="D177">
        <v>11203.480949999999</v>
      </c>
      <c r="E177">
        <v>0</v>
      </c>
      <c r="F177" s="1" t="str">
        <f t="shared" si="2"/>
        <v>201409</v>
      </c>
    </row>
    <row r="178" spans="1:6" x14ac:dyDescent="0.25">
      <c r="A178" s="1">
        <v>41912</v>
      </c>
      <c r="B178" s="1">
        <v>42551</v>
      </c>
      <c r="C178">
        <v>7</v>
      </c>
      <c r="D178">
        <v>11551.5818</v>
      </c>
      <c r="E178">
        <v>0</v>
      </c>
      <c r="F178" s="1" t="str">
        <f t="shared" si="2"/>
        <v>201409</v>
      </c>
    </row>
    <row r="179" spans="1:6" x14ac:dyDescent="0.25">
      <c r="A179" s="1">
        <v>41912</v>
      </c>
      <c r="B179" s="1">
        <v>42643</v>
      </c>
      <c r="C179">
        <v>8</v>
      </c>
      <c r="D179">
        <v>12697.200140000001</v>
      </c>
      <c r="E179">
        <v>0</v>
      </c>
      <c r="F179" s="1" t="str">
        <f t="shared" si="2"/>
        <v>201409</v>
      </c>
    </row>
    <row r="180" spans="1:6" x14ac:dyDescent="0.25">
      <c r="A180" s="1">
        <v>41912</v>
      </c>
      <c r="B180" s="1">
        <v>42735</v>
      </c>
      <c r="C180">
        <v>9</v>
      </c>
      <c r="D180">
        <v>12468.062519999999</v>
      </c>
      <c r="E180">
        <v>0</v>
      </c>
      <c r="F180" s="1" t="str">
        <f t="shared" si="2"/>
        <v>201409</v>
      </c>
    </row>
    <row r="181" spans="1:6" x14ac:dyDescent="0.25">
      <c r="A181" s="1">
        <v>41912</v>
      </c>
      <c r="B181" s="1">
        <v>42825</v>
      </c>
      <c r="C181">
        <v>10</v>
      </c>
      <c r="D181">
        <v>12828.079449999999</v>
      </c>
      <c r="E181">
        <v>0</v>
      </c>
      <c r="F181" s="1" t="str">
        <f t="shared" si="2"/>
        <v>201409</v>
      </c>
    </row>
    <row r="182" spans="1:6" x14ac:dyDescent="0.25">
      <c r="A182" s="1">
        <v>41912</v>
      </c>
      <c r="B182" s="1">
        <v>42916</v>
      </c>
      <c r="C182">
        <v>11</v>
      </c>
      <c r="D182">
        <v>14162.85548</v>
      </c>
      <c r="E182">
        <v>0</v>
      </c>
      <c r="F182" s="1" t="str">
        <f t="shared" si="2"/>
        <v>201409</v>
      </c>
    </row>
    <row r="183" spans="1:6" x14ac:dyDescent="0.25">
      <c r="A183" s="1">
        <v>41912</v>
      </c>
      <c r="B183" s="1">
        <v>43008</v>
      </c>
      <c r="C183">
        <v>12</v>
      </c>
      <c r="D183">
        <v>13961.607319999999</v>
      </c>
      <c r="E183">
        <v>0</v>
      </c>
      <c r="F183" s="1" t="str">
        <f t="shared" si="2"/>
        <v>201409</v>
      </c>
    </row>
    <row r="184" spans="1:6" x14ac:dyDescent="0.25">
      <c r="A184" s="1">
        <v>41912</v>
      </c>
      <c r="B184" s="1">
        <v>43100</v>
      </c>
      <c r="C184">
        <v>13</v>
      </c>
      <c r="D184">
        <v>14113.86584</v>
      </c>
      <c r="E184">
        <v>0</v>
      </c>
      <c r="F184" s="1" t="str">
        <f t="shared" si="2"/>
        <v>201409</v>
      </c>
    </row>
    <row r="185" spans="1:6" x14ac:dyDescent="0.25">
      <c r="A185" s="1">
        <v>41912</v>
      </c>
      <c r="B185" s="1">
        <v>43190</v>
      </c>
      <c r="C185">
        <v>14</v>
      </c>
      <c r="D185">
        <v>14931.727860000001</v>
      </c>
      <c r="E185">
        <v>0</v>
      </c>
      <c r="F185" s="1" t="str">
        <f t="shared" si="2"/>
        <v>201409</v>
      </c>
    </row>
    <row r="186" spans="1:6" x14ac:dyDescent="0.25">
      <c r="A186" s="1">
        <v>41912</v>
      </c>
      <c r="B186" s="1">
        <v>43281</v>
      </c>
      <c r="C186">
        <v>15</v>
      </c>
      <c r="D186">
        <v>16580.937440000002</v>
      </c>
      <c r="E186">
        <v>0</v>
      </c>
      <c r="F186" s="1" t="str">
        <f t="shared" si="2"/>
        <v>201409</v>
      </c>
    </row>
    <row r="187" spans="1:6" x14ac:dyDescent="0.25">
      <c r="A187" s="1">
        <v>41912</v>
      </c>
      <c r="B187" s="1">
        <v>43373</v>
      </c>
      <c r="C187">
        <v>16</v>
      </c>
      <c r="D187">
        <v>16279.29189</v>
      </c>
      <c r="E187">
        <v>0</v>
      </c>
      <c r="F187" s="1" t="str">
        <f t="shared" si="2"/>
        <v>201409</v>
      </c>
    </row>
    <row r="188" spans="1:6" x14ac:dyDescent="0.25">
      <c r="A188" s="1">
        <v>41912</v>
      </c>
      <c r="B188" s="1">
        <v>43465</v>
      </c>
      <c r="C188">
        <v>17</v>
      </c>
      <c r="D188">
        <v>15667.746719999999</v>
      </c>
      <c r="E188">
        <v>0</v>
      </c>
      <c r="F188" s="1" t="str">
        <f t="shared" si="2"/>
        <v>201409</v>
      </c>
    </row>
    <row r="189" spans="1:6" x14ac:dyDescent="0.25">
      <c r="A189" s="1">
        <v>41912</v>
      </c>
      <c r="B189" s="1">
        <v>43555</v>
      </c>
      <c r="C189">
        <v>18</v>
      </c>
      <c r="D189">
        <v>15625.058069999999</v>
      </c>
      <c r="E189">
        <v>0</v>
      </c>
      <c r="F189" s="1" t="str">
        <f t="shared" si="2"/>
        <v>201409</v>
      </c>
    </row>
    <row r="190" spans="1:6" x14ac:dyDescent="0.25">
      <c r="A190" s="1">
        <v>41912</v>
      </c>
      <c r="B190" s="1">
        <v>43646</v>
      </c>
      <c r="C190">
        <v>19</v>
      </c>
      <c r="D190">
        <v>17347.31035</v>
      </c>
      <c r="E190">
        <v>0</v>
      </c>
      <c r="F190" s="1" t="str">
        <f t="shared" si="2"/>
        <v>201409</v>
      </c>
    </row>
    <row r="191" spans="1:6" x14ac:dyDescent="0.25">
      <c r="A191" s="1">
        <v>41912</v>
      </c>
      <c r="B191" s="1">
        <v>43738</v>
      </c>
      <c r="C191">
        <v>20</v>
      </c>
      <c r="D191">
        <v>17165.337179999999</v>
      </c>
      <c r="E191">
        <v>0</v>
      </c>
      <c r="F191" s="1" t="str">
        <f t="shared" si="2"/>
        <v>201409</v>
      </c>
    </row>
    <row r="192" spans="1:6" x14ac:dyDescent="0.25">
      <c r="A192" s="1">
        <v>42004</v>
      </c>
      <c r="B192" s="1">
        <v>42094</v>
      </c>
      <c r="C192">
        <v>1</v>
      </c>
      <c r="D192">
        <v>4341.6172729999998</v>
      </c>
      <c r="E192">
        <v>0</v>
      </c>
      <c r="F192" s="1" t="str">
        <f t="shared" si="2"/>
        <v>201412</v>
      </c>
    </row>
    <row r="193" spans="1:6" x14ac:dyDescent="0.25">
      <c r="A193" s="1">
        <v>42004</v>
      </c>
      <c r="B193" s="1">
        <v>42185</v>
      </c>
      <c r="C193">
        <v>2</v>
      </c>
      <c r="D193">
        <v>4786.5464920000004</v>
      </c>
      <c r="E193">
        <v>0</v>
      </c>
      <c r="F193" s="1" t="str">
        <f t="shared" si="2"/>
        <v>201412</v>
      </c>
    </row>
    <row r="194" spans="1:6" x14ac:dyDescent="0.25">
      <c r="A194" s="1">
        <v>42004</v>
      </c>
      <c r="B194" s="1">
        <v>42277</v>
      </c>
      <c r="C194">
        <v>3</v>
      </c>
      <c r="D194">
        <v>6309.5153060000002</v>
      </c>
      <c r="E194">
        <v>0</v>
      </c>
      <c r="F194" s="1" t="str">
        <f t="shared" si="2"/>
        <v>201412</v>
      </c>
    </row>
    <row r="195" spans="1:6" x14ac:dyDescent="0.25">
      <c r="A195" s="1">
        <v>42004</v>
      </c>
      <c r="B195" s="1">
        <v>42369</v>
      </c>
      <c r="C195">
        <v>4</v>
      </c>
      <c r="D195">
        <v>7942.6352589999997</v>
      </c>
      <c r="E195">
        <v>0</v>
      </c>
      <c r="F195" s="1" t="str">
        <f t="shared" ref="F195:F211" si="3">YEAR(A195)&amp;IF(LEN(MONTH(A195))=1,"0"&amp;MONTH(A195),MONTH(A195))</f>
        <v>201412</v>
      </c>
    </row>
    <row r="196" spans="1:6" x14ac:dyDescent="0.25">
      <c r="A196" s="1">
        <v>42004</v>
      </c>
      <c r="B196" s="1">
        <v>42460</v>
      </c>
      <c r="C196">
        <v>5</v>
      </c>
      <c r="D196">
        <v>8481.9515059999994</v>
      </c>
      <c r="E196">
        <v>0</v>
      </c>
      <c r="F196" s="1" t="str">
        <f t="shared" si="3"/>
        <v>201412</v>
      </c>
    </row>
    <row r="197" spans="1:6" x14ac:dyDescent="0.25">
      <c r="A197" s="1">
        <v>42004</v>
      </c>
      <c r="B197" s="1">
        <v>42551</v>
      </c>
      <c r="C197">
        <v>6</v>
      </c>
      <c r="D197">
        <v>8669.7722740000008</v>
      </c>
      <c r="E197">
        <v>0</v>
      </c>
      <c r="F197" s="1" t="str">
        <f t="shared" si="3"/>
        <v>201412</v>
      </c>
    </row>
    <row r="198" spans="1:6" x14ac:dyDescent="0.25">
      <c r="A198" s="1">
        <v>42004</v>
      </c>
      <c r="B198" s="1">
        <v>42643</v>
      </c>
      <c r="C198">
        <v>7</v>
      </c>
      <c r="D198">
        <v>8747.3489019999997</v>
      </c>
      <c r="E198">
        <v>0</v>
      </c>
      <c r="F198" s="1" t="str">
        <f t="shared" si="3"/>
        <v>201412</v>
      </c>
    </row>
    <row r="199" spans="1:6" x14ac:dyDescent="0.25">
      <c r="A199" s="1">
        <v>42004</v>
      </c>
      <c r="B199" s="1">
        <v>42735</v>
      </c>
      <c r="C199">
        <v>8</v>
      </c>
      <c r="D199">
        <v>9149.7289739999997</v>
      </c>
      <c r="E199">
        <v>0</v>
      </c>
      <c r="F199" s="1" t="str">
        <f t="shared" si="3"/>
        <v>201412</v>
      </c>
    </row>
    <row r="200" spans="1:6" x14ac:dyDescent="0.25">
      <c r="A200" s="1">
        <v>42004</v>
      </c>
      <c r="B200" s="1">
        <v>42825</v>
      </c>
      <c r="C200">
        <v>9</v>
      </c>
      <c r="D200">
        <v>9373.8676479999995</v>
      </c>
      <c r="E200">
        <v>0</v>
      </c>
      <c r="F200" s="1" t="str">
        <f t="shared" si="3"/>
        <v>201412</v>
      </c>
    </row>
    <row r="201" spans="1:6" x14ac:dyDescent="0.25">
      <c r="A201" s="1">
        <v>42004</v>
      </c>
      <c r="B201" s="1">
        <v>42916</v>
      </c>
      <c r="C201">
        <v>10</v>
      </c>
      <c r="D201">
        <v>9823.1680359999991</v>
      </c>
      <c r="E201">
        <v>0</v>
      </c>
      <c r="F201" s="1" t="str">
        <f t="shared" si="3"/>
        <v>201412</v>
      </c>
    </row>
    <row r="202" spans="1:6" x14ac:dyDescent="0.25">
      <c r="A202" s="1">
        <v>42004</v>
      </c>
      <c r="B202" s="1">
        <v>43008</v>
      </c>
      <c r="C202">
        <v>11</v>
      </c>
      <c r="D202">
        <v>10711.747670000001</v>
      </c>
      <c r="E202">
        <v>0</v>
      </c>
      <c r="F202" s="1" t="str">
        <f t="shared" si="3"/>
        <v>201412</v>
      </c>
    </row>
    <row r="203" spans="1:6" x14ac:dyDescent="0.25">
      <c r="A203" s="1">
        <v>42004</v>
      </c>
      <c r="B203" s="1">
        <v>43100</v>
      </c>
      <c r="C203">
        <v>12</v>
      </c>
      <c r="D203">
        <v>11521.553260000001</v>
      </c>
      <c r="E203">
        <v>0</v>
      </c>
      <c r="F203" s="1" t="str">
        <f t="shared" si="3"/>
        <v>201412</v>
      </c>
    </row>
    <row r="204" spans="1:6" x14ac:dyDescent="0.25">
      <c r="A204" s="1">
        <v>42004</v>
      </c>
      <c r="B204" s="1">
        <v>43190</v>
      </c>
      <c r="C204">
        <v>13</v>
      </c>
      <c r="D204">
        <v>11241.589180000001</v>
      </c>
      <c r="E204">
        <v>0</v>
      </c>
      <c r="F204" s="1" t="str">
        <f t="shared" si="3"/>
        <v>201412</v>
      </c>
    </row>
    <row r="205" spans="1:6" x14ac:dyDescent="0.25">
      <c r="A205" s="1">
        <v>42004</v>
      </c>
      <c r="B205" s="1">
        <v>43281</v>
      </c>
      <c r="C205">
        <v>14</v>
      </c>
      <c r="D205">
        <v>12279.20709</v>
      </c>
      <c r="E205">
        <v>0</v>
      </c>
      <c r="F205" s="1" t="str">
        <f t="shared" si="3"/>
        <v>201412</v>
      </c>
    </row>
    <row r="206" spans="1:6" x14ac:dyDescent="0.25">
      <c r="A206" s="1">
        <v>42004</v>
      </c>
      <c r="B206" s="1">
        <v>43373</v>
      </c>
      <c r="C206">
        <v>15</v>
      </c>
      <c r="D206">
        <v>13806.30294</v>
      </c>
      <c r="E206">
        <v>0</v>
      </c>
      <c r="F206" s="1" t="str">
        <f t="shared" si="3"/>
        <v>201412</v>
      </c>
    </row>
    <row r="207" spans="1:6" x14ac:dyDescent="0.25">
      <c r="A207" s="1">
        <v>42004</v>
      </c>
      <c r="B207" s="1">
        <v>43465</v>
      </c>
      <c r="C207">
        <v>16</v>
      </c>
      <c r="D207">
        <v>13720.937260000001</v>
      </c>
      <c r="E207">
        <v>0</v>
      </c>
      <c r="F207" s="1" t="str">
        <f t="shared" si="3"/>
        <v>201412</v>
      </c>
    </row>
    <row r="208" spans="1:6" x14ac:dyDescent="0.25">
      <c r="A208" s="1">
        <v>42004</v>
      </c>
      <c r="B208" s="1">
        <v>43555</v>
      </c>
      <c r="C208">
        <v>17</v>
      </c>
      <c r="D208">
        <v>13857.64092</v>
      </c>
      <c r="E208">
        <v>0</v>
      </c>
      <c r="F208" s="1" t="str">
        <f t="shared" si="3"/>
        <v>201412</v>
      </c>
    </row>
    <row r="209" spans="1:6" x14ac:dyDescent="0.25">
      <c r="A209" s="1">
        <v>42004</v>
      </c>
      <c r="B209" s="1">
        <v>43646</v>
      </c>
      <c r="C209">
        <v>18</v>
      </c>
      <c r="D209">
        <v>14243.54773</v>
      </c>
      <c r="E209">
        <v>0</v>
      </c>
      <c r="F209" s="1" t="str">
        <f t="shared" si="3"/>
        <v>201412</v>
      </c>
    </row>
    <row r="210" spans="1:6" x14ac:dyDescent="0.25">
      <c r="A210" s="1">
        <v>42004</v>
      </c>
      <c r="B210" s="1">
        <v>43738</v>
      </c>
      <c r="C210">
        <v>19</v>
      </c>
      <c r="D210">
        <v>16558.00043</v>
      </c>
      <c r="E210">
        <v>0</v>
      </c>
      <c r="F210" s="1" t="str">
        <f t="shared" si="3"/>
        <v>201412</v>
      </c>
    </row>
    <row r="211" spans="1:6" x14ac:dyDescent="0.25">
      <c r="A211" s="1">
        <v>42004</v>
      </c>
      <c r="B211" s="1">
        <v>43830</v>
      </c>
      <c r="C211">
        <v>20</v>
      </c>
      <c r="D211">
        <v>16405.614030000001</v>
      </c>
      <c r="E211">
        <v>0</v>
      </c>
      <c r="F211" s="1" t="str">
        <f t="shared" si="3"/>
        <v>201412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3:X47"/>
  <sheetViews>
    <sheetView topLeftCell="A7" workbookViewId="0">
      <selection activeCell="L39" sqref="L39"/>
    </sheetView>
  </sheetViews>
  <sheetFormatPr defaultRowHeight="15" x14ac:dyDescent="0.25"/>
  <cols>
    <col min="1" max="1" width="12.28515625" bestFit="1" customWidth="1"/>
    <col min="2" max="2" width="6.85546875" bestFit="1" customWidth="1"/>
    <col min="3" max="21" width="7.85546875" bestFit="1" customWidth="1"/>
    <col min="22" max="22" width="12" bestFit="1" customWidth="1"/>
  </cols>
  <sheetData>
    <row r="3" spans="1:21" x14ac:dyDescent="0.25">
      <c r="A3" s="2" t="s">
        <v>27</v>
      </c>
      <c r="B3" s="2" t="s">
        <v>2</v>
      </c>
    </row>
    <row r="4" spans="1:21" x14ac:dyDescent="0.25">
      <c r="A4" s="2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>
        <v>13</v>
      </c>
      <c r="O4">
        <v>14</v>
      </c>
      <c r="P4">
        <v>15</v>
      </c>
      <c r="Q4">
        <v>16</v>
      </c>
      <c r="R4">
        <v>17</v>
      </c>
      <c r="S4">
        <v>18</v>
      </c>
      <c r="T4">
        <v>19</v>
      </c>
      <c r="U4">
        <v>20</v>
      </c>
    </row>
    <row r="5" spans="1:21" x14ac:dyDescent="0.25">
      <c r="A5" t="s">
        <v>7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>
        <v>9455.5829360000007</v>
      </c>
    </row>
    <row r="6" spans="1:21" x14ac:dyDescent="0.25">
      <c r="A6" t="s">
        <v>8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>
        <v>5807.6562590000003</v>
      </c>
      <c r="U6" s="3">
        <v>5802.7270680000001</v>
      </c>
    </row>
    <row r="7" spans="1:21" x14ac:dyDescent="0.25">
      <c r="A7" t="s">
        <v>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>
        <v>7821.9049610000002</v>
      </c>
      <c r="T7" s="3">
        <v>7821.4050669999997</v>
      </c>
      <c r="U7" s="3">
        <v>8155.8343850000001</v>
      </c>
    </row>
    <row r="8" spans="1:21" x14ac:dyDescent="0.25">
      <c r="A8" t="s">
        <v>10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>
        <v>5920.8183879999997</v>
      </c>
      <c r="S8" s="3">
        <v>6165.9409999999998</v>
      </c>
      <c r="T8" s="3">
        <v>6196.0276640000002</v>
      </c>
      <c r="U8" s="3">
        <v>6026.0170850000004</v>
      </c>
    </row>
    <row r="9" spans="1:21" x14ac:dyDescent="0.25">
      <c r="A9" t="s">
        <v>11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>
        <v>8708.8686620000008</v>
      </c>
      <c r="R9" s="3">
        <v>9367.636407</v>
      </c>
      <c r="S9" s="3">
        <v>9670.7235120000005</v>
      </c>
      <c r="T9" s="3">
        <v>10318.90047</v>
      </c>
      <c r="U9" s="3">
        <v>10078.683800000001</v>
      </c>
    </row>
    <row r="10" spans="1:21" x14ac:dyDescent="0.25">
      <c r="A10" t="s">
        <v>12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>
        <v>7050.8121199999996</v>
      </c>
      <c r="Q10" s="3">
        <v>6987.5929230000002</v>
      </c>
      <c r="R10" s="3">
        <v>7024.7594870000003</v>
      </c>
      <c r="S10" s="3">
        <v>7182.1564529999996</v>
      </c>
      <c r="T10" s="3">
        <v>6672.3339720000004</v>
      </c>
      <c r="U10" s="3">
        <v>6675.7053530000003</v>
      </c>
    </row>
    <row r="11" spans="1:21" x14ac:dyDescent="0.25">
      <c r="A11" t="s">
        <v>13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>
        <v>8560.5976740000006</v>
      </c>
      <c r="P11" s="3">
        <v>8368.7544999999991</v>
      </c>
      <c r="Q11" s="3">
        <v>8322.8107220000002</v>
      </c>
      <c r="R11" s="3">
        <v>8495.471904</v>
      </c>
      <c r="S11" s="3">
        <v>8286.0975510000007</v>
      </c>
      <c r="T11" s="3">
        <v>8254.9762210000008</v>
      </c>
      <c r="U11" s="3">
        <v>8536.2656079999997</v>
      </c>
    </row>
    <row r="12" spans="1:21" x14ac:dyDescent="0.25">
      <c r="A12" t="s">
        <v>14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>
        <v>9206.9378130000005</v>
      </c>
      <c r="O12" s="3">
        <v>9792.1862120000005</v>
      </c>
      <c r="P12" s="3">
        <v>9953.2451949999995</v>
      </c>
      <c r="Q12" s="3">
        <v>10001.548940000001</v>
      </c>
      <c r="R12" s="3">
        <v>9407.1978130000007</v>
      </c>
      <c r="S12" s="3">
        <v>9451.7697879999996</v>
      </c>
      <c r="T12" s="3">
        <v>8273.2281779999994</v>
      </c>
      <c r="U12" s="3">
        <v>8370.9517099999994</v>
      </c>
    </row>
    <row r="13" spans="1:21" x14ac:dyDescent="0.25">
      <c r="A13" t="s">
        <v>15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>
        <v>2504.5055510000002</v>
      </c>
      <c r="N13" s="3">
        <v>2677.771256</v>
      </c>
      <c r="O13" s="3">
        <v>2594.3935289999999</v>
      </c>
      <c r="P13" s="3">
        <v>2648.1961110000002</v>
      </c>
      <c r="Q13" s="3">
        <v>2660.8329749999998</v>
      </c>
      <c r="R13" s="3">
        <v>2521.0485659999999</v>
      </c>
      <c r="S13" s="3">
        <v>2529.3956389999998</v>
      </c>
      <c r="T13" s="3">
        <v>2370.2316040000001</v>
      </c>
      <c r="U13" s="3">
        <v>2370.2316040000001</v>
      </c>
    </row>
    <row r="14" spans="1:21" x14ac:dyDescent="0.25">
      <c r="A14" t="s">
        <v>16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>
        <v>4719.5838999999996</v>
      </c>
      <c r="M14" s="3">
        <v>5136.5306609999998</v>
      </c>
      <c r="N14" s="3">
        <v>5207.5156580000003</v>
      </c>
      <c r="O14" s="3">
        <v>5588.9582950000004</v>
      </c>
      <c r="P14" s="3">
        <v>6253.5387650000002</v>
      </c>
      <c r="Q14" s="3">
        <v>6507.1014530000002</v>
      </c>
      <c r="R14" s="3">
        <v>6507.1014530000002</v>
      </c>
      <c r="S14" s="3">
        <v>6593.0484040000001</v>
      </c>
      <c r="T14" s="3">
        <v>6603.6508139999996</v>
      </c>
      <c r="U14" s="3">
        <v>6659.0344580000001</v>
      </c>
    </row>
    <row r="15" spans="1:21" x14ac:dyDescent="0.25">
      <c r="A15" t="s">
        <v>17</v>
      </c>
      <c r="B15" s="3"/>
      <c r="C15" s="3"/>
      <c r="D15" s="3"/>
      <c r="E15" s="3"/>
      <c r="F15" s="3"/>
      <c r="G15" s="3"/>
      <c r="H15" s="3"/>
      <c r="I15" s="3"/>
      <c r="J15" s="3"/>
      <c r="K15" s="3">
        <v>7024.7013589999997</v>
      </c>
      <c r="L15" s="3">
        <v>7046.0921870000002</v>
      </c>
      <c r="M15" s="3">
        <v>7394.1814080000004</v>
      </c>
      <c r="N15" s="3">
        <v>10204.447920000001</v>
      </c>
      <c r="O15" s="3">
        <v>9914.8928360000009</v>
      </c>
      <c r="P15" s="3">
        <v>9643.3920789999993</v>
      </c>
      <c r="Q15" s="3">
        <v>9928.9712560000007</v>
      </c>
      <c r="R15" s="3">
        <v>10268.887790000001</v>
      </c>
      <c r="S15" s="3">
        <v>10221.3397</v>
      </c>
      <c r="T15" s="3">
        <v>10808.436540000001</v>
      </c>
      <c r="U15" s="3">
        <v>10913.053970000001</v>
      </c>
    </row>
    <row r="16" spans="1:21" x14ac:dyDescent="0.25">
      <c r="A16" t="s">
        <v>18</v>
      </c>
      <c r="B16" s="3"/>
      <c r="C16" s="3"/>
      <c r="D16" s="3"/>
      <c r="E16" s="3"/>
      <c r="F16" s="3"/>
      <c r="G16" s="3"/>
      <c r="H16" s="3"/>
      <c r="I16" s="3"/>
      <c r="J16" s="3">
        <v>4983.9001289999997</v>
      </c>
      <c r="K16" s="3">
        <v>4971.5539010000002</v>
      </c>
      <c r="L16" s="3">
        <v>5328.3970859999999</v>
      </c>
      <c r="M16" s="3">
        <v>5752.4818740000001</v>
      </c>
      <c r="N16" s="3">
        <v>5802.3434280000001</v>
      </c>
      <c r="O16" s="3">
        <v>5553.6169280000004</v>
      </c>
      <c r="P16" s="3">
        <v>6082.8887860000004</v>
      </c>
      <c r="Q16" s="3">
        <v>6529.6432000000004</v>
      </c>
      <c r="R16" s="3">
        <v>6522.7841850000004</v>
      </c>
      <c r="S16" s="3">
        <v>6564.8683129999999</v>
      </c>
      <c r="T16" s="3">
        <v>6569.7045010000002</v>
      </c>
      <c r="U16" s="3">
        <v>6519.645313</v>
      </c>
    </row>
    <row r="17" spans="1:24" x14ac:dyDescent="0.25">
      <c r="A17" t="s">
        <v>19</v>
      </c>
      <c r="B17" s="3"/>
      <c r="C17" s="3"/>
      <c r="D17" s="3"/>
      <c r="E17" s="3"/>
      <c r="F17" s="3"/>
      <c r="G17" s="3"/>
      <c r="H17" s="3"/>
      <c r="I17" s="3">
        <v>4766.701849</v>
      </c>
      <c r="J17" s="3">
        <v>5146.9121880000002</v>
      </c>
      <c r="K17" s="3">
        <v>5977.1088170000003</v>
      </c>
      <c r="L17" s="3">
        <v>5955.4157269999996</v>
      </c>
      <c r="M17" s="3">
        <v>6004.4983769999999</v>
      </c>
      <c r="N17" s="3">
        <v>6077.2969439999997</v>
      </c>
      <c r="O17" s="3">
        <v>6227.9744010000004</v>
      </c>
      <c r="P17" s="3">
        <v>6501.9281279999996</v>
      </c>
      <c r="Q17" s="3">
        <v>6590.2234200000003</v>
      </c>
      <c r="R17" s="3">
        <v>6602.7091529999998</v>
      </c>
      <c r="S17" s="3">
        <v>7606.7643850000004</v>
      </c>
      <c r="T17" s="3">
        <v>7754.2564679999996</v>
      </c>
      <c r="U17" s="3">
        <v>7754.2564679999996</v>
      </c>
    </row>
    <row r="18" spans="1:24" x14ac:dyDescent="0.25">
      <c r="A18" t="s">
        <v>20</v>
      </c>
      <c r="B18" s="3"/>
      <c r="C18" s="3"/>
      <c r="D18" s="3"/>
      <c r="E18" s="3"/>
      <c r="F18" s="3"/>
      <c r="G18" s="3"/>
      <c r="H18" s="3">
        <v>10614.361279999999</v>
      </c>
      <c r="I18" s="3">
        <v>11270.87369</v>
      </c>
      <c r="J18" s="3">
        <v>11901.05445</v>
      </c>
      <c r="K18" s="3">
        <v>11493.187169999999</v>
      </c>
      <c r="L18" s="3">
        <v>11492.571019999999</v>
      </c>
      <c r="M18" s="3">
        <v>11778.18507</v>
      </c>
      <c r="N18" s="3">
        <v>11795.65812</v>
      </c>
      <c r="O18" s="3">
        <v>11238.04342</v>
      </c>
      <c r="P18" s="3">
        <v>11358.48308</v>
      </c>
      <c r="Q18" s="3">
        <v>11098.735650000001</v>
      </c>
      <c r="R18" s="3">
        <v>11107.071099999999</v>
      </c>
      <c r="S18" s="3">
        <v>11450.114869999999</v>
      </c>
      <c r="T18" s="3">
        <v>11413.3087</v>
      </c>
      <c r="U18" s="3">
        <v>11607.407209999999</v>
      </c>
    </row>
    <row r="19" spans="1:24" x14ac:dyDescent="0.25">
      <c r="A19" t="s">
        <v>21</v>
      </c>
      <c r="B19" s="3"/>
      <c r="C19" s="3"/>
      <c r="D19" s="3"/>
      <c r="E19" s="3"/>
      <c r="F19" s="3"/>
      <c r="G19" s="3">
        <v>4882.154192</v>
      </c>
      <c r="H19" s="3">
        <v>4970.0774689999998</v>
      </c>
      <c r="I19" s="3">
        <v>4877.0738700000002</v>
      </c>
      <c r="J19" s="3">
        <v>5969.3778929999999</v>
      </c>
      <c r="K19" s="3">
        <v>6023.1572239999996</v>
      </c>
      <c r="L19" s="3">
        <v>6167.7196940000003</v>
      </c>
      <c r="M19" s="3">
        <v>6383.5577970000004</v>
      </c>
      <c r="N19" s="3">
        <v>7814.5111749999996</v>
      </c>
      <c r="O19" s="3">
        <v>7804.3621569999996</v>
      </c>
      <c r="P19" s="3">
        <v>7262.1627989999997</v>
      </c>
      <c r="Q19" s="3">
        <v>8047.0783009999996</v>
      </c>
      <c r="R19" s="3">
        <v>8041.8468480000001</v>
      </c>
      <c r="S19" s="3">
        <v>8288.3180119999997</v>
      </c>
      <c r="T19" s="3">
        <v>8340.237271</v>
      </c>
      <c r="U19" s="3">
        <v>8329.8092429999997</v>
      </c>
    </row>
    <row r="20" spans="1:24" x14ac:dyDescent="0.25">
      <c r="A20" t="s">
        <v>22</v>
      </c>
      <c r="B20" s="3"/>
      <c r="C20" s="3"/>
      <c r="D20" s="3"/>
      <c r="E20" s="3"/>
      <c r="F20" s="3">
        <v>7356.6312049999997</v>
      </c>
      <c r="G20" s="3">
        <v>7117.6933330000002</v>
      </c>
      <c r="H20" s="3">
        <v>7671.2507560000004</v>
      </c>
      <c r="I20" s="3">
        <v>7983.9056060000003</v>
      </c>
      <c r="J20" s="3">
        <v>8775.8312540000006</v>
      </c>
      <c r="K20" s="3">
        <v>9575.2785679999997</v>
      </c>
      <c r="L20" s="3">
        <v>9614.8515989999996</v>
      </c>
      <c r="M20" s="3">
        <v>9884.143521</v>
      </c>
      <c r="N20" s="3">
        <v>9907.8826900000004</v>
      </c>
      <c r="O20" s="3">
        <v>7871.1271159999997</v>
      </c>
      <c r="P20" s="3">
        <v>8005.0290480000003</v>
      </c>
      <c r="Q20" s="3">
        <v>7982.185039</v>
      </c>
      <c r="R20" s="3">
        <v>7897.8424000000005</v>
      </c>
      <c r="S20" s="3">
        <v>7899.5978429999996</v>
      </c>
      <c r="T20" s="3">
        <v>7894.4477690000003</v>
      </c>
      <c r="U20" s="3">
        <v>7732.2378660000004</v>
      </c>
    </row>
    <row r="21" spans="1:24" x14ac:dyDescent="0.25">
      <c r="A21" t="s">
        <v>23</v>
      </c>
      <c r="B21" s="3"/>
      <c r="C21" s="3"/>
      <c r="D21" s="3"/>
      <c r="E21" s="3">
        <v>5070.7771160000002</v>
      </c>
      <c r="F21" s="3">
        <v>5653.8399310000004</v>
      </c>
      <c r="G21" s="3">
        <v>6389.2658929999998</v>
      </c>
      <c r="H21" s="3">
        <v>7468.1308950000002</v>
      </c>
      <c r="I21" s="3">
        <v>7458.2260120000001</v>
      </c>
      <c r="J21" s="3">
        <v>7303.2936410000002</v>
      </c>
      <c r="K21" s="3">
        <v>7229.9835540000004</v>
      </c>
      <c r="L21" s="3">
        <v>7365.8269360000004</v>
      </c>
      <c r="M21" s="3">
        <v>7498.2640609999999</v>
      </c>
      <c r="N21" s="3">
        <v>8081.2454980000002</v>
      </c>
      <c r="O21" s="3">
        <v>8312.6849550000006</v>
      </c>
      <c r="P21" s="3">
        <v>8778.7027400000006</v>
      </c>
      <c r="Q21" s="3">
        <v>8854.4657970000007</v>
      </c>
      <c r="R21" s="3">
        <v>9395.5839890000007</v>
      </c>
      <c r="S21" s="3">
        <v>9567.4313889999994</v>
      </c>
      <c r="T21" s="3">
        <v>10067.058349999999</v>
      </c>
      <c r="U21" s="3">
        <v>10907.65976</v>
      </c>
    </row>
    <row r="22" spans="1:24" x14ac:dyDescent="0.25">
      <c r="A22" t="s">
        <v>24</v>
      </c>
      <c r="B22" s="3"/>
      <c r="C22" s="3"/>
      <c r="D22" s="3">
        <v>10026.346020000001</v>
      </c>
      <c r="E22" s="3">
        <v>10224.501819999999</v>
      </c>
      <c r="F22" s="3">
        <v>10712.863719999999</v>
      </c>
      <c r="G22" s="3">
        <v>11673.96291</v>
      </c>
      <c r="H22" s="3">
        <v>11833.42921</v>
      </c>
      <c r="I22" s="3">
        <v>11639.13306</v>
      </c>
      <c r="J22" s="3">
        <v>12485.36119</v>
      </c>
      <c r="K22" s="3">
        <v>12278.86995</v>
      </c>
      <c r="L22" s="3">
        <v>12327.17369</v>
      </c>
      <c r="M22" s="3">
        <v>11754.22502</v>
      </c>
      <c r="N22" s="3">
        <v>11808.58562</v>
      </c>
      <c r="O22" s="3">
        <v>11776.18549</v>
      </c>
      <c r="P22" s="3">
        <v>11853.77375</v>
      </c>
      <c r="Q22" s="3">
        <v>11686.86716</v>
      </c>
      <c r="R22" s="3">
        <v>11708.781139999999</v>
      </c>
      <c r="S22" s="3">
        <v>11364.818950000001</v>
      </c>
      <c r="T22" s="3">
        <v>11469.494500000001</v>
      </c>
      <c r="U22" s="3">
        <v>10940.32727</v>
      </c>
    </row>
    <row r="23" spans="1:24" x14ac:dyDescent="0.25">
      <c r="A23" t="s">
        <v>25</v>
      </c>
      <c r="B23" s="3"/>
      <c r="C23" s="3">
        <v>6178.1244710000001</v>
      </c>
      <c r="D23" s="3">
        <v>8651.0204240000003</v>
      </c>
      <c r="E23" s="3">
        <v>10214.28305</v>
      </c>
      <c r="F23" s="3">
        <v>11282.7084</v>
      </c>
      <c r="G23" s="3">
        <v>11203.480949999999</v>
      </c>
      <c r="H23" s="3">
        <v>11551.5818</v>
      </c>
      <c r="I23" s="3">
        <v>12697.200140000001</v>
      </c>
      <c r="J23" s="3">
        <v>12468.062519999999</v>
      </c>
      <c r="K23" s="3">
        <v>12828.079449999999</v>
      </c>
      <c r="L23" s="3">
        <v>14162.85548</v>
      </c>
      <c r="M23" s="3">
        <v>13961.607319999999</v>
      </c>
      <c r="N23" s="3">
        <v>14113.86584</v>
      </c>
      <c r="O23" s="3">
        <v>14931.727860000001</v>
      </c>
      <c r="P23" s="3">
        <v>16580.937440000002</v>
      </c>
      <c r="Q23" s="3">
        <v>16279.29189</v>
      </c>
      <c r="R23" s="3">
        <v>15667.746719999999</v>
      </c>
      <c r="S23" s="3">
        <v>15625.058069999999</v>
      </c>
      <c r="T23" s="3">
        <v>17347.31035</v>
      </c>
      <c r="U23" s="3">
        <v>17165.337179999999</v>
      </c>
    </row>
    <row r="24" spans="1:24" x14ac:dyDescent="0.25">
      <c r="A24" t="s">
        <v>26</v>
      </c>
      <c r="B24" s="3">
        <v>4341.6172729999998</v>
      </c>
      <c r="C24" s="3">
        <v>4786.5464920000004</v>
      </c>
      <c r="D24" s="3">
        <v>6309.5153060000002</v>
      </c>
      <c r="E24" s="3">
        <v>7942.6352589999997</v>
      </c>
      <c r="F24" s="3">
        <v>8481.9515059999994</v>
      </c>
      <c r="G24" s="3">
        <v>8669.7722740000008</v>
      </c>
      <c r="H24" s="3">
        <v>8747.3489019999997</v>
      </c>
      <c r="I24" s="3">
        <v>9149.7289739999997</v>
      </c>
      <c r="J24" s="3">
        <v>9373.8676479999995</v>
      </c>
      <c r="K24" s="3">
        <v>9823.1680359999991</v>
      </c>
      <c r="L24" s="3">
        <v>10711.747670000001</v>
      </c>
      <c r="M24" s="3">
        <v>11521.553260000001</v>
      </c>
      <c r="N24" s="3">
        <v>11241.589180000001</v>
      </c>
      <c r="O24" s="3">
        <v>12279.20709</v>
      </c>
      <c r="P24" s="3">
        <v>13806.30294</v>
      </c>
      <c r="Q24" s="3">
        <v>13720.937260000001</v>
      </c>
      <c r="R24" s="3">
        <v>13857.64092</v>
      </c>
      <c r="S24" s="3">
        <v>14243.54773</v>
      </c>
      <c r="T24" s="3">
        <v>16558.00043</v>
      </c>
      <c r="U24" s="3">
        <v>16405.614030000001</v>
      </c>
    </row>
    <row r="26" spans="1:24" x14ac:dyDescent="0.25">
      <c r="C26" s="36" t="s">
        <v>45</v>
      </c>
      <c r="D26" s="37"/>
      <c r="E26" s="37"/>
      <c r="F26" s="37"/>
      <c r="G26" s="37"/>
    </row>
    <row r="27" spans="1:24" ht="17.25" x14ac:dyDescent="0.4">
      <c r="B27" s="35" t="s">
        <v>32</v>
      </c>
      <c r="C27" s="38">
        <v>0</v>
      </c>
      <c r="D27" s="38">
        <v>1</v>
      </c>
      <c r="E27" s="38">
        <f>D27+1</f>
        <v>2</v>
      </c>
      <c r="F27" s="38">
        <f t="shared" ref="F27:X27" si="0">E27+1</f>
        <v>3</v>
      </c>
      <c r="G27" s="38">
        <f t="shared" si="0"/>
        <v>4</v>
      </c>
      <c r="H27" s="38">
        <f t="shared" si="0"/>
        <v>5</v>
      </c>
      <c r="I27" s="38">
        <f t="shared" si="0"/>
        <v>6</v>
      </c>
      <c r="J27" s="38">
        <f t="shared" si="0"/>
        <v>7</v>
      </c>
      <c r="K27" s="38">
        <f t="shared" si="0"/>
        <v>8</v>
      </c>
      <c r="L27" s="38">
        <f t="shared" si="0"/>
        <v>9</v>
      </c>
      <c r="M27" s="38">
        <f t="shared" si="0"/>
        <v>10</v>
      </c>
      <c r="N27" s="38">
        <f t="shared" si="0"/>
        <v>11</v>
      </c>
      <c r="O27" s="38">
        <f t="shared" si="0"/>
        <v>12</v>
      </c>
      <c r="P27" s="38">
        <f t="shared" si="0"/>
        <v>13</v>
      </c>
      <c r="Q27" s="38">
        <f t="shared" si="0"/>
        <v>14</v>
      </c>
      <c r="R27" s="38">
        <f t="shared" si="0"/>
        <v>15</v>
      </c>
      <c r="S27" s="38">
        <f t="shared" si="0"/>
        <v>16</v>
      </c>
      <c r="T27" s="38">
        <f t="shared" si="0"/>
        <v>17</v>
      </c>
      <c r="U27" s="38">
        <f t="shared" si="0"/>
        <v>18</v>
      </c>
      <c r="V27" s="38">
        <f t="shared" si="0"/>
        <v>19</v>
      </c>
      <c r="W27" s="38">
        <f t="shared" si="0"/>
        <v>20</v>
      </c>
      <c r="X27" s="38">
        <f t="shared" si="0"/>
        <v>21</v>
      </c>
    </row>
    <row r="28" spans="1:24" x14ac:dyDescent="0.25">
      <c r="B28" s="5" t="str">
        <f t="shared" ref="B28:B47" si="1">A5</f>
        <v>201003</v>
      </c>
      <c r="C28" s="7">
        <f ca="1">'CC examples - CAS'!D31</f>
        <v>9349.6867120000006</v>
      </c>
      <c r="D28" s="7">
        <f ca="1">OFFSET($U$5,(ROWS($L$27:L27)-1)+(COLUMNS($M$27:M27)-1),-(ROWS($L$27:L27)-1),1,1)</f>
        <v>9455.5829360000007</v>
      </c>
      <c r="E28" s="7">
        <f ca="1">OFFSET($U$5,(ROWS($L$27:M27)-1),-(ROWS($L$27:M27)-1)+(COLUMNS($M$27:N27)-1),1,1)</f>
        <v>0</v>
      </c>
      <c r="F28" s="7">
        <f ca="1">OFFSET($U$5,(ROWS($L$27:N27)-1),-(ROWS($L$27:N27)-1)+(COLUMNS($M$27:O27)-1),1,1)</f>
        <v>0</v>
      </c>
      <c r="G28" s="7">
        <f ca="1">OFFSET($U$5,(ROWS($L$27:O27)-1),-(ROWS($L$27:O27)-1)+(COLUMNS($M$27:P27)-1),1,1)</f>
        <v>0</v>
      </c>
      <c r="H28" s="7">
        <f ca="1">OFFSET($U$5,(ROWS($L$27:P27)-1),-(ROWS($L$27:P27)-1)+(COLUMNS($M$27:Q27)-1),1,1)</f>
        <v>0</v>
      </c>
      <c r="I28" s="7">
        <f ca="1">OFFSET($U$5,(ROWS($L$27:Q27)-1),-(ROWS($L$27:Q27)-1)+(COLUMNS($M$27:R27)-1),1,1)</f>
        <v>0</v>
      </c>
      <c r="J28" s="7">
        <f ca="1">OFFSET($U$5,(ROWS($L$27:R27)-1),-(ROWS($L$27:R27)-1)+(COLUMNS($M$27:S27)-1),1,1)</f>
        <v>0</v>
      </c>
      <c r="K28" s="7">
        <f ca="1">OFFSET($U$5,(ROWS($L$27:S27)-1),-(ROWS($L$27:S27)-1)+(COLUMNS($M$27:T27)-1),1,1)</f>
        <v>0</v>
      </c>
      <c r="L28" s="7">
        <f ca="1">OFFSET($U$5,(ROWS($L$27:T27)-1),-(ROWS($L$27:T27)-1)+(COLUMNS($M$27:U27)-1),1,1)</f>
        <v>0</v>
      </c>
      <c r="M28" s="7">
        <f ca="1">OFFSET($U$5,(ROWS($L$27:U27)-1),-(ROWS($L$27:U27)-1)+(COLUMNS($M$27:V27)-1),1,1)</f>
        <v>0</v>
      </c>
      <c r="N28" s="7">
        <f ca="1">OFFSET($U$5,(ROWS($L$27:V27)-1),-(ROWS($L$27:V27)-1)+(COLUMNS($M$27:V27)-1),1,1)</f>
        <v>0</v>
      </c>
      <c r="O28" s="7">
        <f ca="1">OFFSET($U$5,(ROWS($L$27:V27)-1),-(ROWS($L$27:V27)-1)+(COLUMNS($M$27:W27)-1),1,1)</f>
        <v>0</v>
      </c>
      <c r="P28" s="7">
        <f ca="1">OFFSET($U$5,(ROWS($L$27:W27)-1),-(ROWS($L$27:W27)-1)+(COLUMNS($M$27:X27)-1),1,1)</f>
        <v>0</v>
      </c>
      <c r="Q28" s="7">
        <f ca="1">OFFSET($U$5,(ROWS($L$27:X27)-1),-(ROWS($L$27:X27)-1)+(COLUMNS($M$27:Y27)-1),1,1)</f>
        <v>0</v>
      </c>
      <c r="R28" s="7">
        <f ca="1">OFFSET($U$5,(ROWS($L$27:Y27)-1),-(ROWS($L$27:Y27)-1)+(COLUMNS($M$27:Z27)-1),1,1)</f>
        <v>0</v>
      </c>
      <c r="S28" s="7">
        <f ca="1">OFFSET($U$5,(ROWS($L$27:Z27)-1),-(ROWS($L$27:Z27)-1)+(COLUMNS($M$27:AA27)-1),1,1)</f>
        <v>0</v>
      </c>
      <c r="T28" s="7">
        <f ca="1">OFFSET($U$5,(ROWS($L$27:AA27)-1),-(ROWS($L$27:AA27)-1)+(COLUMNS($M$27:AB27)-1),1,1)</f>
        <v>0</v>
      </c>
      <c r="U28" s="7">
        <f ca="1">OFFSET($U$5,(ROWS($L$27:AB27)-1),-(ROWS($L$27:AB27)-1)+(COLUMNS($M$27:AC27)-1),1,1)</f>
        <v>0</v>
      </c>
      <c r="V28" s="7">
        <f ca="1">OFFSET($U$5,(ROWS($L$27:AC27)-1),-(ROWS($L$27:AC27)-1)+(COLUMNS($M$27:AD27)-1),1,1)</f>
        <v>0</v>
      </c>
      <c r="W28" s="7">
        <f ca="1">OFFSET($U$5,(ROWS($L$27:AD27)-1),-(ROWS($L$27:AD27)-1)+(COLUMNS($M$27:AE27)-1),1,1)</f>
        <v>0</v>
      </c>
      <c r="X28" s="7">
        <f ca="1">OFFSET($U$5,(ROWS($L$27:AE27)-1),-(ROWS($L$27:AE27)-1)+(COLUMNS($M$27:AF27)-1),1,1)</f>
        <v>0</v>
      </c>
    </row>
    <row r="29" spans="1:24" x14ac:dyDescent="0.25">
      <c r="B29" s="5" t="str">
        <f t="shared" si="1"/>
        <v>201006</v>
      </c>
      <c r="C29" s="7">
        <f ca="1">'CC examples - CAS'!D32</f>
        <v>5766.6765480000004</v>
      </c>
      <c r="D29" s="7">
        <f ca="1">OFFSET($U$5,(ROWS($L$27:L28)-1)+(COLUMNS($M$27:M28)-1),-(ROWS($L$27:L28)-1),1,1)</f>
        <v>5807.6562590000003</v>
      </c>
      <c r="E29" s="7">
        <f ca="1">OFFSET($U$5,(ROWS($L$27:M28)-1),-(ROWS($L$27:M28)-1)+(COLUMNS($M$27:N28)-1),1,1)</f>
        <v>5802.7270680000001</v>
      </c>
      <c r="F29" s="7">
        <f ca="1">OFFSET($U$5,(ROWS($L$27:N28)-1),-(ROWS($L$27:N28)-1)+(COLUMNS($M$27:O28)-1),1,1)</f>
        <v>0</v>
      </c>
      <c r="G29" s="7">
        <f ca="1">OFFSET($U$5,(ROWS($L$27:O28)-1),-(ROWS($L$27:O28)-1)+(COLUMNS($M$27:P28)-1),1,1)</f>
        <v>0</v>
      </c>
      <c r="H29" s="7">
        <f ca="1">OFFSET($U$5,(ROWS($L$27:P28)-1),-(ROWS($L$27:P28)-1)+(COLUMNS($M$27:Q28)-1),1,1)</f>
        <v>0</v>
      </c>
      <c r="I29" s="7">
        <f ca="1">OFFSET($U$5,(ROWS($L$27:Q28)-1),-(ROWS($L$27:Q28)-1)+(COLUMNS($M$27:R28)-1),1,1)</f>
        <v>0</v>
      </c>
      <c r="J29" s="7">
        <f ca="1">OFFSET($U$5,(ROWS($L$27:R28)-1),-(ROWS($L$27:R28)-1)+(COLUMNS($M$27:S28)-1),1,1)</f>
        <v>0</v>
      </c>
      <c r="K29" s="7">
        <f ca="1">OFFSET($U$5,(ROWS($L$27:S28)-1),-(ROWS($L$27:S28)-1)+(COLUMNS($M$27:T28)-1),1,1)</f>
        <v>0</v>
      </c>
      <c r="L29" s="7">
        <f ca="1">OFFSET($U$5,(ROWS($L$27:T28)-1),-(ROWS($L$27:T28)-1)+(COLUMNS($M$27:U28)-1),1,1)</f>
        <v>0</v>
      </c>
      <c r="M29" s="7">
        <f ca="1">OFFSET($U$5,(ROWS($L$27:U28)-1),-(ROWS($L$27:U28)-1)+(COLUMNS($M$27:V28)-1),1,1)</f>
        <v>0</v>
      </c>
      <c r="N29" s="7">
        <f ca="1">OFFSET($U$5,(ROWS($L$27:V28)-1),-(ROWS($L$27:V28)-1)+(COLUMNS($M$27:V28)-1),1,1)</f>
        <v>0</v>
      </c>
      <c r="O29" s="7">
        <f ca="1">OFFSET($U$5,(ROWS($L$27:V28)-1),-(ROWS($L$27:V28)-1)+(COLUMNS($M$27:W28)-1),1,1)</f>
        <v>0</v>
      </c>
      <c r="P29" s="7">
        <f ca="1">OFFSET($U$5,(ROWS($L$27:W28)-1),-(ROWS($L$27:W28)-1)+(COLUMNS($M$27:X28)-1),1,1)</f>
        <v>0</v>
      </c>
      <c r="Q29" s="7">
        <f ca="1">OFFSET($U$5,(ROWS($L$27:X28)-1),-(ROWS($L$27:X28)-1)+(COLUMNS($M$27:Y28)-1),1,1)</f>
        <v>0</v>
      </c>
      <c r="R29" s="7">
        <f ca="1">OFFSET($U$5,(ROWS($L$27:Y28)-1),-(ROWS($L$27:Y28)-1)+(COLUMNS($M$27:Z28)-1),1,1)</f>
        <v>0</v>
      </c>
      <c r="S29" s="7">
        <f ca="1">OFFSET($U$5,(ROWS($L$27:Z28)-1),-(ROWS($L$27:Z28)-1)+(COLUMNS($M$27:AA28)-1),1,1)</f>
        <v>0</v>
      </c>
      <c r="T29" s="7">
        <f ca="1">OFFSET($U$5,(ROWS($L$27:AA28)-1),-(ROWS($L$27:AA28)-1)+(COLUMNS($M$27:AB28)-1),1,1)</f>
        <v>0</v>
      </c>
      <c r="U29" s="7">
        <f ca="1">OFFSET($U$5,(ROWS($L$27:AB28)-1),-(ROWS($L$27:AB28)-1)+(COLUMNS($M$27:AC28)-1),1,1)</f>
        <v>0</v>
      </c>
      <c r="V29" s="7">
        <f ca="1">OFFSET($U$5,(ROWS($L$27:AC28)-1),-(ROWS($L$27:AC28)-1)+(COLUMNS($M$27:AD28)-1),1,1)</f>
        <v>0</v>
      </c>
      <c r="W29" s="7">
        <f ca="1">OFFSET($U$5,(ROWS($L$27:AD28)-1),-(ROWS($L$27:AD28)-1)+(COLUMNS($M$27:AE28)-1),1,1)</f>
        <v>0</v>
      </c>
      <c r="X29" s="7">
        <f ca="1">OFFSET($U$5,(ROWS($L$27:AE28)-1),-(ROWS($L$27:AE28)-1)+(COLUMNS($M$27:AF28)-1),1,1)</f>
        <v>0</v>
      </c>
    </row>
    <row r="30" spans="1:24" x14ac:dyDescent="0.25">
      <c r="B30" s="5" t="str">
        <f t="shared" si="1"/>
        <v>201009</v>
      </c>
      <c r="C30" s="7">
        <f ca="1">'CC examples - CAS'!D33</f>
        <v>7820.8819219999996</v>
      </c>
      <c r="D30" s="7">
        <f ca="1">OFFSET($U$5,(ROWS($L$27:L29)-1)+(COLUMNS($M$27:M29)-1),-(ROWS($L$27:L29)-1),1,1)</f>
        <v>7821.9049610000002</v>
      </c>
      <c r="E30" s="7">
        <f ca="1">OFFSET($U$5,(ROWS($L$27:M29)-1),-(ROWS($L$27:M29)-1)+(COLUMNS($M$27:N29)-1),1,1)</f>
        <v>7821.4050669999997</v>
      </c>
      <c r="F30" s="7">
        <f ca="1">OFFSET($U$5,(ROWS($L$27:N29)-1),-(ROWS($L$27:N29)-1)+(COLUMNS($M$27:O29)-1),1,1)</f>
        <v>8155.8343850000001</v>
      </c>
      <c r="G30" s="7">
        <f ca="1">OFFSET($U$5,(ROWS($L$27:O29)-1),-(ROWS($L$27:O29)-1)+(COLUMNS($M$27:P29)-1),1,1)</f>
        <v>0</v>
      </c>
      <c r="H30" s="7">
        <f ca="1">OFFSET($U$5,(ROWS($L$27:P29)-1),-(ROWS($L$27:P29)-1)+(COLUMNS($M$27:Q29)-1),1,1)</f>
        <v>0</v>
      </c>
      <c r="I30" s="7">
        <f ca="1">OFFSET($U$5,(ROWS($L$27:Q29)-1),-(ROWS($L$27:Q29)-1)+(COLUMNS($M$27:R29)-1),1,1)</f>
        <v>0</v>
      </c>
      <c r="J30" s="7">
        <f ca="1">OFFSET($U$5,(ROWS($L$27:R29)-1),-(ROWS($L$27:R29)-1)+(COLUMNS($M$27:S29)-1),1,1)</f>
        <v>0</v>
      </c>
      <c r="K30" s="7">
        <f ca="1">OFFSET($U$5,(ROWS($L$27:S29)-1),-(ROWS($L$27:S29)-1)+(COLUMNS($M$27:T29)-1),1,1)</f>
        <v>0</v>
      </c>
      <c r="L30" s="7">
        <f ca="1">OFFSET($U$5,(ROWS($L$27:T29)-1),-(ROWS($L$27:T29)-1)+(COLUMNS($M$27:U29)-1),1,1)</f>
        <v>0</v>
      </c>
      <c r="M30" s="7">
        <f ca="1">OFFSET($U$5,(ROWS($L$27:U29)-1),-(ROWS($L$27:U29)-1)+(COLUMNS($M$27:V29)-1),1,1)</f>
        <v>0</v>
      </c>
      <c r="N30" s="7">
        <f ca="1">OFFSET($U$5,(ROWS($L$27:V29)-1),-(ROWS($L$27:V29)-1)+(COLUMNS($M$27:V29)-1),1,1)</f>
        <v>0</v>
      </c>
      <c r="O30" s="7">
        <f ca="1">OFFSET($U$5,(ROWS($L$27:V29)-1),-(ROWS($L$27:V29)-1)+(COLUMNS($M$27:W29)-1),1,1)</f>
        <v>0</v>
      </c>
      <c r="P30" s="7">
        <f ca="1">OFFSET($U$5,(ROWS($L$27:W29)-1),-(ROWS($L$27:W29)-1)+(COLUMNS($M$27:X29)-1),1,1)</f>
        <v>0</v>
      </c>
      <c r="Q30" s="7">
        <f ca="1">OFFSET($U$5,(ROWS($L$27:X29)-1),-(ROWS($L$27:X29)-1)+(COLUMNS($M$27:Y29)-1),1,1)</f>
        <v>0</v>
      </c>
      <c r="R30" s="7">
        <f ca="1">OFFSET($U$5,(ROWS($L$27:Y29)-1),-(ROWS($L$27:Y29)-1)+(COLUMNS($M$27:Z29)-1),1,1)</f>
        <v>0</v>
      </c>
      <c r="S30" s="7">
        <f ca="1">OFFSET($U$5,(ROWS($L$27:Z29)-1),-(ROWS($L$27:Z29)-1)+(COLUMNS($M$27:AA29)-1),1,1)</f>
        <v>0</v>
      </c>
      <c r="T30" s="7">
        <f ca="1">OFFSET($U$5,(ROWS($L$27:AA29)-1),-(ROWS($L$27:AA29)-1)+(COLUMNS($M$27:AB29)-1),1,1)</f>
        <v>0</v>
      </c>
      <c r="U30" s="7">
        <f ca="1">OFFSET($U$5,(ROWS($L$27:AB29)-1),-(ROWS($L$27:AB29)-1)+(COLUMNS($M$27:AC29)-1),1,1)</f>
        <v>0</v>
      </c>
      <c r="V30" s="7">
        <f ca="1">OFFSET($U$5,(ROWS($L$27:AC29)-1),-(ROWS($L$27:AC29)-1)+(COLUMNS($M$27:AD29)-1),1,1)</f>
        <v>0</v>
      </c>
      <c r="W30" s="7">
        <f ca="1">OFFSET($U$5,(ROWS($L$27:AD29)-1),-(ROWS($L$27:AD29)-1)+(COLUMNS($M$27:AE29)-1),1,1)</f>
        <v>0</v>
      </c>
      <c r="X30" s="7">
        <f ca="1">OFFSET($U$5,(ROWS($L$27:AE29)-1),-(ROWS($L$27:AE29)-1)+(COLUMNS($M$27:AF29)-1),1,1)</f>
        <v>0</v>
      </c>
    </row>
    <row r="31" spans="1:24" x14ac:dyDescent="0.25">
      <c r="B31" s="5" t="str">
        <f t="shared" si="1"/>
        <v>201012</v>
      </c>
      <c r="C31" s="7">
        <f ca="1">'CC examples - CAS'!D34</f>
        <v>6050.6862890000002</v>
      </c>
      <c r="D31" s="7">
        <f ca="1">OFFSET($U$5,(ROWS($L$27:L30)-1)+(COLUMNS($M$27:M30)-1),-(ROWS($L$27:L30)-1),1,1)</f>
        <v>5920.8183879999997</v>
      </c>
      <c r="E31" s="7">
        <f ca="1">OFFSET($U$5,(ROWS($L$27:M30)-1),-(ROWS($L$27:M30)-1)+(COLUMNS($M$27:N30)-1),1,1)</f>
        <v>6165.9409999999998</v>
      </c>
      <c r="F31" s="7">
        <f ca="1">OFFSET($U$5,(ROWS($L$27:N30)-1),-(ROWS($L$27:N30)-1)+(COLUMNS($M$27:O30)-1),1,1)</f>
        <v>6196.0276640000002</v>
      </c>
      <c r="G31" s="7">
        <f ca="1">OFFSET($U$5,(ROWS($L$27:O30)-1),-(ROWS($L$27:O30)-1)+(COLUMNS($M$27:P30)-1),1,1)</f>
        <v>6026.0170850000004</v>
      </c>
      <c r="H31" s="7">
        <f ca="1">OFFSET($U$5,(ROWS($L$27:P30)-1),-(ROWS($L$27:P30)-1)+(COLUMNS($M$27:Q30)-1),1,1)</f>
        <v>0</v>
      </c>
      <c r="I31" s="7">
        <f ca="1">OFFSET($U$5,(ROWS($L$27:Q30)-1),-(ROWS($L$27:Q30)-1)+(COLUMNS($M$27:R30)-1),1,1)</f>
        <v>0</v>
      </c>
      <c r="J31" s="7">
        <f ca="1">OFFSET($U$5,(ROWS($L$27:R30)-1),-(ROWS($L$27:R30)-1)+(COLUMNS($M$27:S30)-1),1,1)</f>
        <v>0</v>
      </c>
      <c r="K31" s="7">
        <f ca="1">OFFSET($U$5,(ROWS($L$27:S30)-1),-(ROWS($L$27:S30)-1)+(COLUMNS($M$27:T30)-1),1,1)</f>
        <v>0</v>
      </c>
      <c r="L31" s="7">
        <f ca="1">OFFSET($U$5,(ROWS($L$27:T30)-1),-(ROWS($L$27:T30)-1)+(COLUMNS($M$27:U30)-1),1,1)</f>
        <v>0</v>
      </c>
      <c r="M31" s="7">
        <f ca="1">OFFSET($U$5,(ROWS($L$27:U30)-1),-(ROWS($L$27:U30)-1)+(COLUMNS($M$27:V30)-1),1,1)</f>
        <v>0</v>
      </c>
      <c r="N31" s="7">
        <f ca="1">OFFSET($U$5,(ROWS($L$27:V30)-1),-(ROWS($L$27:V30)-1)+(COLUMNS($M$27:V30)-1),1,1)</f>
        <v>0</v>
      </c>
      <c r="O31" s="7">
        <f ca="1">OFFSET($U$5,(ROWS($L$27:V30)-1),-(ROWS($L$27:V30)-1)+(COLUMNS($M$27:W30)-1),1,1)</f>
        <v>0</v>
      </c>
      <c r="P31" s="7">
        <f ca="1">OFFSET($U$5,(ROWS($L$27:W30)-1),-(ROWS($L$27:W30)-1)+(COLUMNS($M$27:X30)-1),1,1)</f>
        <v>0</v>
      </c>
      <c r="Q31" s="7">
        <f ca="1">OFFSET($U$5,(ROWS($L$27:X30)-1),-(ROWS($L$27:X30)-1)+(COLUMNS($M$27:Y30)-1),1,1)</f>
        <v>0</v>
      </c>
      <c r="R31" s="7">
        <f ca="1">OFFSET($U$5,(ROWS($L$27:Y30)-1),-(ROWS($L$27:Y30)-1)+(COLUMNS($M$27:Z30)-1),1,1)</f>
        <v>0</v>
      </c>
      <c r="S31" s="7">
        <f ca="1">OFFSET($U$5,(ROWS($L$27:Z30)-1),-(ROWS($L$27:Z30)-1)+(COLUMNS($M$27:AA30)-1),1,1)</f>
        <v>0</v>
      </c>
      <c r="T31" s="7">
        <f ca="1">OFFSET($U$5,(ROWS($L$27:AA30)-1),-(ROWS($L$27:AA30)-1)+(COLUMNS($M$27:AB30)-1),1,1)</f>
        <v>0</v>
      </c>
      <c r="U31" s="7">
        <f ca="1">OFFSET($U$5,(ROWS($L$27:AB30)-1),-(ROWS($L$27:AB30)-1)+(COLUMNS($M$27:AC30)-1),1,1)</f>
        <v>0</v>
      </c>
      <c r="V31" s="7">
        <f ca="1">OFFSET($U$5,(ROWS($L$27:AC30)-1),-(ROWS($L$27:AC30)-1)+(COLUMNS($M$27:AD30)-1),1,1)</f>
        <v>0</v>
      </c>
      <c r="W31" s="7">
        <f ca="1">OFFSET($U$5,(ROWS($L$27:AD30)-1),-(ROWS($L$27:AD30)-1)+(COLUMNS($M$27:AE30)-1),1,1)</f>
        <v>0</v>
      </c>
      <c r="X31" s="7">
        <f ca="1">OFFSET($U$5,(ROWS($L$27:AE30)-1),-(ROWS($L$27:AE30)-1)+(COLUMNS($M$27:AF30)-1),1,1)</f>
        <v>0</v>
      </c>
    </row>
    <row r="32" spans="1:24" x14ac:dyDescent="0.25">
      <c r="B32" s="5" t="str">
        <f t="shared" si="1"/>
        <v>201103</v>
      </c>
      <c r="C32" s="7">
        <f ca="1">'CC examples - CAS'!D35</f>
        <v>8508.0506409999998</v>
      </c>
      <c r="D32" s="7">
        <f ca="1">OFFSET($U$5,(ROWS($L$27:L31)-1)+(COLUMNS($M$27:M31)-1),-(ROWS($L$27:L31)-1),1,1)</f>
        <v>8708.8686620000008</v>
      </c>
      <c r="E32" s="7">
        <f ca="1">OFFSET($U$5,(ROWS($L$27:M31)-1),-(ROWS($L$27:M31)-1)+(COLUMNS($M$27:N31)-1),1,1)</f>
        <v>9367.636407</v>
      </c>
      <c r="F32" s="7">
        <f ca="1">OFFSET($U$5,(ROWS($L$27:N31)-1),-(ROWS($L$27:N31)-1)+(COLUMNS($M$27:O31)-1),1,1)</f>
        <v>9670.7235120000005</v>
      </c>
      <c r="G32" s="7">
        <f ca="1">OFFSET($U$5,(ROWS($L$27:O31)-1),-(ROWS($L$27:O31)-1)+(COLUMNS($M$27:P31)-1),1,1)</f>
        <v>10318.90047</v>
      </c>
      <c r="H32" s="7">
        <f ca="1">OFFSET($U$5,(ROWS($L$27:P31)-1),-(ROWS($L$27:P31)-1)+(COLUMNS($M$27:Q31)-1),1,1)</f>
        <v>10078.683800000001</v>
      </c>
      <c r="I32" s="7">
        <f ca="1">OFFSET($U$5,(ROWS($L$27:Q31)-1),-(ROWS($L$27:Q31)-1)+(COLUMNS($M$27:R31)-1),1,1)</f>
        <v>0</v>
      </c>
      <c r="J32" s="7">
        <f ca="1">OFFSET($U$5,(ROWS($L$27:R31)-1),-(ROWS($L$27:R31)-1)+(COLUMNS($M$27:S31)-1),1,1)</f>
        <v>0</v>
      </c>
      <c r="K32" s="7">
        <f ca="1">OFFSET($U$5,(ROWS($L$27:S31)-1),-(ROWS($L$27:S31)-1)+(COLUMNS($M$27:T31)-1),1,1)</f>
        <v>0</v>
      </c>
      <c r="L32" s="7">
        <f ca="1">OFFSET($U$5,(ROWS($L$27:T31)-1),-(ROWS($L$27:T31)-1)+(COLUMNS($M$27:U31)-1),1,1)</f>
        <v>0</v>
      </c>
      <c r="M32" s="7">
        <f ca="1">OFFSET($U$5,(ROWS($L$27:U31)-1),-(ROWS($L$27:U31)-1)+(COLUMNS($M$27:V31)-1),1,1)</f>
        <v>0</v>
      </c>
      <c r="N32" s="7">
        <f ca="1">OFFSET($U$5,(ROWS($L$27:V31)-1),-(ROWS($L$27:V31)-1)+(COLUMNS($M$27:V31)-1),1,1)</f>
        <v>0</v>
      </c>
      <c r="O32" s="7">
        <f ca="1">OFFSET($U$5,(ROWS($L$27:V31)-1),-(ROWS($L$27:V31)-1)+(COLUMNS($M$27:W31)-1),1,1)</f>
        <v>0</v>
      </c>
      <c r="P32" s="7">
        <f ca="1">OFFSET($U$5,(ROWS($L$27:W31)-1),-(ROWS($L$27:W31)-1)+(COLUMNS($M$27:X31)-1),1,1)</f>
        <v>0</v>
      </c>
      <c r="Q32" s="7">
        <f ca="1">OFFSET($U$5,(ROWS($L$27:X31)-1),-(ROWS($L$27:X31)-1)+(COLUMNS($M$27:Y31)-1),1,1)</f>
        <v>0</v>
      </c>
      <c r="R32" s="7">
        <f ca="1">OFFSET($U$5,(ROWS($L$27:Y31)-1),-(ROWS($L$27:Y31)-1)+(COLUMNS($M$27:Z31)-1),1,1)</f>
        <v>0</v>
      </c>
      <c r="S32" s="7">
        <f ca="1">OFFSET($U$5,(ROWS($L$27:Z31)-1),-(ROWS($L$27:Z31)-1)+(COLUMNS($M$27:AA31)-1),1,1)</f>
        <v>0</v>
      </c>
      <c r="T32" s="7">
        <f ca="1">OFFSET($U$5,(ROWS($L$27:AA31)-1),-(ROWS($L$27:AA31)-1)+(COLUMNS($M$27:AB31)-1),1,1)</f>
        <v>0</v>
      </c>
      <c r="U32" s="7">
        <f ca="1">OFFSET($U$5,(ROWS($L$27:AB31)-1),-(ROWS($L$27:AB31)-1)+(COLUMNS($M$27:AC31)-1),1,1)</f>
        <v>0</v>
      </c>
      <c r="V32" s="7">
        <f ca="1">OFFSET($U$5,(ROWS($L$27:AC31)-1),-(ROWS($L$27:AC31)-1)+(COLUMNS($M$27:AD31)-1),1,1)</f>
        <v>0</v>
      </c>
      <c r="W32" s="7">
        <f ca="1">OFFSET($U$5,(ROWS($L$27:AD31)-1),-(ROWS($L$27:AD31)-1)+(COLUMNS($M$27:AE31)-1),1,1)</f>
        <v>0</v>
      </c>
      <c r="X32" s="7">
        <f ca="1">OFFSET($U$5,(ROWS($L$27:AE31)-1),-(ROWS($L$27:AE31)-1)+(COLUMNS($M$27:AF31)-1),1,1)</f>
        <v>0</v>
      </c>
    </row>
    <row r="33" spans="2:24" x14ac:dyDescent="0.25">
      <c r="B33" s="5" t="str">
        <f t="shared" si="1"/>
        <v>201106</v>
      </c>
      <c r="C33" s="7">
        <f ca="1">'CC examples - CAS'!D36</f>
        <v>6981.2221769999996</v>
      </c>
      <c r="D33" s="7">
        <f ca="1">OFFSET($U$5,(ROWS($L$27:L32)-1)+(COLUMNS($M$27:M32)-1),-(ROWS($L$27:L32)-1),1,1)</f>
        <v>7050.8121199999996</v>
      </c>
      <c r="E33" s="7">
        <f ca="1">OFFSET($U$5,(ROWS($L$27:M32)-1),-(ROWS($L$27:M32)-1)+(COLUMNS($M$27:N32)-1),1,1)</f>
        <v>6987.5929230000002</v>
      </c>
      <c r="F33" s="7">
        <f ca="1">OFFSET($U$5,(ROWS($L$27:N32)-1),-(ROWS($L$27:N32)-1)+(COLUMNS($M$27:O32)-1),1,1)</f>
        <v>7024.7594870000003</v>
      </c>
      <c r="G33" s="7">
        <f ca="1">OFFSET($U$5,(ROWS($L$27:O32)-1),-(ROWS($L$27:O32)-1)+(COLUMNS($M$27:P32)-1),1,1)</f>
        <v>7182.1564529999996</v>
      </c>
      <c r="H33" s="7">
        <f ca="1">OFFSET($U$5,(ROWS($L$27:P32)-1),-(ROWS($L$27:P32)-1)+(COLUMNS($M$27:Q32)-1),1,1)</f>
        <v>6672.3339720000004</v>
      </c>
      <c r="I33" s="7">
        <f ca="1">OFFSET($U$5,(ROWS($L$27:Q32)-1),-(ROWS($L$27:Q32)-1)+(COLUMNS($M$27:R32)-1),1,1)</f>
        <v>6675.7053530000003</v>
      </c>
      <c r="J33" s="7">
        <f ca="1">OFFSET($U$5,(ROWS($L$27:R32)-1),-(ROWS($L$27:R32)-1)+(COLUMNS($M$27:S32)-1),1,1)</f>
        <v>0</v>
      </c>
      <c r="K33" s="7">
        <f ca="1">OFFSET($U$5,(ROWS($L$27:S32)-1),-(ROWS($L$27:S32)-1)+(COLUMNS($M$27:T32)-1),1,1)</f>
        <v>0</v>
      </c>
      <c r="L33" s="7">
        <f ca="1">OFFSET($U$5,(ROWS($L$27:T32)-1),-(ROWS($L$27:T32)-1)+(COLUMNS($M$27:U32)-1),1,1)</f>
        <v>0</v>
      </c>
      <c r="M33" s="7">
        <f ca="1">OFFSET($U$5,(ROWS($L$27:U32)-1),-(ROWS($L$27:U32)-1)+(COLUMNS($M$27:V32)-1),1,1)</f>
        <v>0</v>
      </c>
      <c r="N33" s="7">
        <f ca="1">OFFSET($U$5,(ROWS($L$27:V32)-1),-(ROWS($L$27:V32)-1)+(COLUMNS($M$27:V32)-1),1,1)</f>
        <v>0</v>
      </c>
      <c r="O33" s="7">
        <f ca="1">OFFSET($U$5,(ROWS($L$27:V32)-1),-(ROWS($L$27:V32)-1)+(COLUMNS($M$27:W32)-1),1,1)</f>
        <v>0</v>
      </c>
      <c r="P33" s="7">
        <f ca="1">OFFSET($U$5,(ROWS($L$27:W32)-1),-(ROWS($L$27:W32)-1)+(COLUMNS($M$27:X32)-1),1,1)</f>
        <v>0</v>
      </c>
      <c r="Q33" s="7">
        <f ca="1">OFFSET($U$5,(ROWS($L$27:X32)-1),-(ROWS($L$27:X32)-1)+(COLUMNS($M$27:Y32)-1),1,1)</f>
        <v>0</v>
      </c>
      <c r="R33" s="7">
        <f ca="1">OFFSET($U$5,(ROWS($L$27:Y32)-1),-(ROWS($L$27:Y32)-1)+(COLUMNS($M$27:Z32)-1),1,1)</f>
        <v>0</v>
      </c>
      <c r="S33" s="7">
        <f ca="1">OFFSET($U$5,(ROWS($L$27:Z32)-1),-(ROWS($L$27:Z32)-1)+(COLUMNS($M$27:AA32)-1),1,1)</f>
        <v>0</v>
      </c>
      <c r="T33" s="7">
        <f ca="1">OFFSET($U$5,(ROWS($L$27:AA32)-1),-(ROWS($L$27:AA32)-1)+(COLUMNS($M$27:AB32)-1),1,1)</f>
        <v>0</v>
      </c>
      <c r="U33" s="7">
        <f ca="1">OFFSET($U$5,(ROWS($L$27:AB32)-1),-(ROWS($L$27:AB32)-1)+(COLUMNS($M$27:AC32)-1),1,1)</f>
        <v>0</v>
      </c>
      <c r="V33" s="7">
        <f ca="1">OFFSET($U$5,(ROWS($L$27:AC32)-1),-(ROWS($L$27:AC32)-1)+(COLUMNS($M$27:AD32)-1),1,1)</f>
        <v>0</v>
      </c>
      <c r="W33" s="7">
        <f ca="1">OFFSET($U$5,(ROWS($L$27:AD32)-1),-(ROWS($L$27:AD32)-1)+(COLUMNS($M$27:AE32)-1),1,1)</f>
        <v>0</v>
      </c>
      <c r="X33" s="7">
        <f ca="1">OFFSET($U$5,(ROWS($L$27:AE32)-1),-(ROWS($L$27:AE32)-1)+(COLUMNS($M$27:AF32)-1),1,1)</f>
        <v>0</v>
      </c>
    </row>
    <row r="34" spans="2:24" x14ac:dyDescent="0.25">
      <c r="B34" s="5" t="str">
        <f t="shared" si="1"/>
        <v>201109</v>
      </c>
      <c r="C34" s="7">
        <f ca="1">'CC examples - CAS'!D37</f>
        <v>7503.6233940000002</v>
      </c>
      <c r="D34" s="7">
        <f ca="1">OFFSET($U$5,(ROWS($L$27:L33)-1)+(COLUMNS($M$27:M33)-1),-(ROWS($L$27:L33)-1),1,1)</f>
        <v>8560.5976740000006</v>
      </c>
      <c r="E34" s="7">
        <f ca="1">OFFSET($U$5,(ROWS($L$27:M33)-1),-(ROWS($L$27:M33)-1)+(COLUMNS($M$27:N33)-1),1,1)</f>
        <v>8368.7544999999991</v>
      </c>
      <c r="F34" s="7">
        <f ca="1">OFFSET($U$5,(ROWS($L$27:N33)-1),-(ROWS($L$27:N33)-1)+(COLUMNS($M$27:O33)-1),1,1)</f>
        <v>8322.8107220000002</v>
      </c>
      <c r="G34" s="7">
        <f ca="1">OFFSET($U$5,(ROWS($L$27:O33)-1),-(ROWS($L$27:O33)-1)+(COLUMNS($M$27:P33)-1),1,1)</f>
        <v>8495.471904</v>
      </c>
      <c r="H34" s="7">
        <f ca="1">OFFSET($U$5,(ROWS($L$27:P33)-1),-(ROWS($L$27:P33)-1)+(COLUMNS($M$27:Q33)-1),1,1)</f>
        <v>8286.0975510000007</v>
      </c>
      <c r="I34" s="7">
        <f ca="1">OFFSET($U$5,(ROWS($L$27:Q33)-1),-(ROWS($L$27:Q33)-1)+(COLUMNS($M$27:R33)-1),1,1)</f>
        <v>8254.9762210000008</v>
      </c>
      <c r="J34" s="7">
        <f ca="1">OFFSET($U$5,(ROWS($L$27:R33)-1),-(ROWS($L$27:R33)-1)+(COLUMNS($M$27:S33)-1),1,1)</f>
        <v>8536.2656079999997</v>
      </c>
      <c r="K34" s="7">
        <f ca="1">OFFSET($U$5,(ROWS($L$27:S33)-1),-(ROWS($L$27:S33)-1)+(COLUMNS($M$27:T33)-1),1,1)</f>
        <v>0</v>
      </c>
      <c r="L34" s="7">
        <f ca="1">OFFSET($U$5,(ROWS($L$27:T33)-1),-(ROWS($L$27:T33)-1)+(COLUMNS($M$27:U33)-1),1,1)</f>
        <v>0</v>
      </c>
      <c r="M34" s="7">
        <f ca="1">OFFSET($U$5,(ROWS($L$27:U33)-1),-(ROWS($L$27:U33)-1)+(COLUMNS($M$27:V33)-1),1,1)</f>
        <v>0</v>
      </c>
      <c r="N34" s="7">
        <f ca="1">OFFSET($U$5,(ROWS($L$27:V33)-1),-(ROWS($L$27:V33)-1)+(COLUMNS($M$27:V33)-1),1,1)</f>
        <v>0</v>
      </c>
      <c r="O34" s="7">
        <f ca="1">OFFSET($U$5,(ROWS($L$27:V33)-1),-(ROWS($L$27:V33)-1)+(COLUMNS($M$27:W33)-1),1,1)</f>
        <v>0</v>
      </c>
      <c r="P34" s="7">
        <f ca="1">OFFSET($U$5,(ROWS($L$27:W33)-1),-(ROWS($L$27:W33)-1)+(COLUMNS($M$27:X33)-1),1,1)</f>
        <v>0</v>
      </c>
      <c r="Q34" s="7">
        <f ca="1">OFFSET($U$5,(ROWS($L$27:X33)-1),-(ROWS($L$27:X33)-1)+(COLUMNS($M$27:Y33)-1),1,1)</f>
        <v>0</v>
      </c>
      <c r="R34" s="7">
        <f ca="1">OFFSET($U$5,(ROWS($L$27:Y33)-1),-(ROWS($L$27:Y33)-1)+(COLUMNS($M$27:Z33)-1),1,1)</f>
        <v>0</v>
      </c>
      <c r="S34" s="7">
        <f ca="1">OFFSET($U$5,(ROWS($L$27:Z33)-1),-(ROWS($L$27:Z33)-1)+(COLUMNS($M$27:AA33)-1),1,1)</f>
        <v>0</v>
      </c>
      <c r="T34" s="7">
        <f ca="1">OFFSET($U$5,(ROWS($L$27:AA33)-1),-(ROWS($L$27:AA33)-1)+(COLUMNS($M$27:AB33)-1),1,1)</f>
        <v>0</v>
      </c>
      <c r="U34" s="7">
        <f ca="1">OFFSET($U$5,(ROWS($L$27:AB33)-1),-(ROWS($L$27:AB33)-1)+(COLUMNS($M$27:AC33)-1),1,1)</f>
        <v>0</v>
      </c>
      <c r="V34" s="7">
        <f ca="1">OFFSET($U$5,(ROWS($L$27:AC33)-1),-(ROWS($L$27:AC33)-1)+(COLUMNS($M$27:AD33)-1),1,1)</f>
        <v>0</v>
      </c>
      <c r="W34" s="7">
        <f ca="1">OFFSET($U$5,(ROWS($L$27:AD33)-1),-(ROWS($L$27:AD33)-1)+(COLUMNS($M$27:AE33)-1),1,1)</f>
        <v>0</v>
      </c>
      <c r="X34" s="7">
        <f ca="1">OFFSET($U$5,(ROWS($L$27:AE33)-1),-(ROWS($L$27:AE33)-1)+(COLUMNS($M$27:AF33)-1),1,1)</f>
        <v>0</v>
      </c>
    </row>
    <row r="35" spans="2:24" x14ac:dyDescent="0.25">
      <c r="B35" s="5" t="str">
        <f t="shared" si="1"/>
        <v>201112</v>
      </c>
      <c r="C35" s="7">
        <f ca="1">'CC examples - CAS'!D38</f>
        <v>8644.1149060000007</v>
      </c>
      <c r="D35" s="7">
        <f ca="1">OFFSET($U$5,(ROWS($L$27:L34)-1)+(COLUMNS($M$27:M34)-1),-(ROWS($L$27:L34)-1),1,1)</f>
        <v>9206.9378130000005</v>
      </c>
      <c r="E35" s="7">
        <f ca="1">OFFSET($U$5,(ROWS($L$27:M34)-1),-(ROWS($L$27:M34)-1)+(COLUMNS($M$27:N34)-1),1,1)</f>
        <v>9792.1862120000005</v>
      </c>
      <c r="F35" s="7">
        <f ca="1">OFFSET($U$5,(ROWS($L$27:N34)-1),-(ROWS($L$27:N34)-1)+(COLUMNS($M$27:O34)-1),1,1)</f>
        <v>9953.2451949999995</v>
      </c>
      <c r="G35" s="7">
        <f ca="1">OFFSET($U$5,(ROWS($L$27:O34)-1),-(ROWS($L$27:O34)-1)+(COLUMNS($M$27:P34)-1),1,1)</f>
        <v>10001.548940000001</v>
      </c>
      <c r="H35" s="7">
        <f ca="1">OFFSET($U$5,(ROWS($L$27:P34)-1),-(ROWS($L$27:P34)-1)+(COLUMNS($M$27:Q34)-1),1,1)</f>
        <v>9407.1978130000007</v>
      </c>
      <c r="I35" s="7">
        <f ca="1">OFFSET($U$5,(ROWS($L$27:Q34)-1),-(ROWS($L$27:Q34)-1)+(COLUMNS($M$27:R34)-1),1,1)</f>
        <v>9451.7697879999996</v>
      </c>
      <c r="J35" s="7">
        <f ca="1">OFFSET($U$5,(ROWS($L$27:R34)-1),-(ROWS($L$27:R34)-1)+(COLUMNS($M$27:S34)-1),1,1)</f>
        <v>8273.2281779999994</v>
      </c>
      <c r="K35" s="7">
        <f ca="1">OFFSET($U$5,(ROWS($L$27:S34)-1),-(ROWS($L$27:S34)-1)+(COLUMNS($M$27:T34)-1),1,1)</f>
        <v>8370.9517099999994</v>
      </c>
      <c r="L35" s="7">
        <f ca="1">OFFSET($U$5,(ROWS($L$27:T34)-1),-(ROWS($L$27:T34)-1)+(COLUMNS($M$27:U34)-1),1,1)</f>
        <v>0</v>
      </c>
      <c r="M35" s="7">
        <f ca="1">OFFSET($U$5,(ROWS($L$27:U34)-1),-(ROWS($L$27:U34)-1)+(COLUMNS($M$27:V34)-1),1,1)</f>
        <v>0</v>
      </c>
      <c r="N35" s="7">
        <f ca="1">OFFSET($U$5,(ROWS($L$27:V34)-1),-(ROWS($L$27:V34)-1)+(COLUMNS($M$27:V34)-1),1,1)</f>
        <v>0</v>
      </c>
      <c r="O35" s="7">
        <f ca="1">OFFSET($U$5,(ROWS($L$27:V34)-1),-(ROWS($L$27:V34)-1)+(COLUMNS($M$27:W34)-1),1,1)</f>
        <v>0</v>
      </c>
      <c r="P35" s="7">
        <f ca="1">OFFSET($U$5,(ROWS($L$27:W34)-1),-(ROWS($L$27:W34)-1)+(COLUMNS($M$27:X34)-1),1,1)</f>
        <v>0</v>
      </c>
      <c r="Q35" s="7">
        <f ca="1">OFFSET($U$5,(ROWS($L$27:X34)-1),-(ROWS($L$27:X34)-1)+(COLUMNS($M$27:Y34)-1),1,1)</f>
        <v>0</v>
      </c>
      <c r="R35" s="7">
        <f ca="1">OFFSET($U$5,(ROWS($L$27:Y34)-1),-(ROWS($L$27:Y34)-1)+(COLUMNS($M$27:Z34)-1),1,1)</f>
        <v>0</v>
      </c>
      <c r="S35" s="7">
        <f ca="1">OFFSET($U$5,(ROWS($L$27:Z34)-1),-(ROWS($L$27:Z34)-1)+(COLUMNS($M$27:AA34)-1),1,1)</f>
        <v>0</v>
      </c>
      <c r="T35" s="7">
        <f ca="1">OFFSET($U$5,(ROWS($L$27:AA34)-1),-(ROWS($L$27:AA34)-1)+(COLUMNS($M$27:AB34)-1),1,1)</f>
        <v>0</v>
      </c>
      <c r="U35" s="7">
        <f ca="1">OFFSET($U$5,(ROWS($L$27:AB34)-1),-(ROWS($L$27:AB34)-1)+(COLUMNS($M$27:AC34)-1),1,1)</f>
        <v>0</v>
      </c>
      <c r="V35" s="7">
        <f ca="1">OFFSET($U$5,(ROWS($L$27:AC34)-1),-(ROWS($L$27:AC34)-1)+(COLUMNS($M$27:AD34)-1),1,1)</f>
        <v>0</v>
      </c>
      <c r="W35" s="7">
        <f ca="1">OFFSET($U$5,(ROWS($L$27:AD34)-1),-(ROWS($L$27:AD34)-1)+(COLUMNS($M$27:AE34)-1),1,1)</f>
        <v>0</v>
      </c>
      <c r="X35" s="7">
        <f ca="1">OFFSET($U$5,(ROWS($L$27:AE34)-1),-(ROWS($L$27:AE34)-1)+(COLUMNS($M$27:AF34)-1),1,1)</f>
        <v>0</v>
      </c>
    </row>
    <row r="36" spans="2:24" x14ac:dyDescent="0.25">
      <c r="B36" s="5" t="str">
        <f t="shared" si="1"/>
        <v>201203</v>
      </c>
      <c r="C36" s="7">
        <f ca="1">'CC examples - CAS'!D39</f>
        <v>2082.8039800000001</v>
      </c>
      <c r="D36" s="7">
        <f ca="1">OFFSET($U$5,(ROWS($L$27:L35)-1)+(COLUMNS($M$27:M35)-1),-(ROWS($L$27:L35)-1),1,1)</f>
        <v>2504.5055510000002</v>
      </c>
      <c r="E36" s="7">
        <f ca="1">OFFSET($U$5,(ROWS($L$27:M35)-1),-(ROWS($L$27:M35)-1)+(COLUMNS($M$27:N35)-1),1,1)</f>
        <v>2677.771256</v>
      </c>
      <c r="F36" s="7">
        <f ca="1">OFFSET($U$5,(ROWS($L$27:N35)-1),-(ROWS($L$27:N35)-1)+(COLUMNS($M$27:O35)-1),1,1)</f>
        <v>2594.3935289999999</v>
      </c>
      <c r="G36" s="7">
        <f ca="1">OFFSET($U$5,(ROWS($L$27:O35)-1),-(ROWS($L$27:O35)-1)+(COLUMNS($M$27:P35)-1),1,1)</f>
        <v>2648.1961110000002</v>
      </c>
      <c r="H36" s="7">
        <f ca="1">OFFSET($U$5,(ROWS($L$27:P35)-1),-(ROWS($L$27:P35)-1)+(COLUMNS($M$27:Q35)-1),1,1)</f>
        <v>2660.8329749999998</v>
      </c>
      <c r="I36" s="7">
        <f ca="1">OFFSET($U$5,(ROWS($L$27:Q35)-1),-(ROWS($L$27:Q35)-1)+(COLUMNS($M$27:R35)-1),1,1)</f>
        <v>2521.0485659999999</v>
      </c>
      <c r="J36" s="7">
        <f ca="1">OFFSET($U$5,(ROWS($L$27:R35)-1),-(ROWS($L$27:R35)-1)+(COLUMNS($M$27:S35)-1),1,1)</f>
        <v>2529.3956389999998</v>
      </c>
      <c r="K36" s="7">
        <f ca="1">OFFSET($U$5,(ROWS($L$27:S35)-1),-(ROWS($L$27:S35)-1)+(COLUMNS($M$27:T35)-1),1,1)</f>
        <v>2370.2316040000001</v>
      </c>
      <c r="L36" s="7">
        <f ca="1">OFFSET($U$5,(ROWS($L$27:T35)-1),-(ROWS($L$27:T35)-1)+(COLUMNS($M$27:U35)-1),1,1)</f>
        <v>2370.2316040000001</v>
      </c>
      <c r="M36" s="7">
        <f ca="1">OFFSET($U$5,(ROWS($L$27:U35)-1),-(ROWS($L$27:U35)-1)+(COLUMNS($M$27:V35)-1),1,1)</f>
        <v>0</v>
      </c>
      <c r="N36" s="7">
        <f ca="1">OFFSET($U$5,(ROWS($L$27:V35)-1),-(ROWS($L$27:V35)-1)+(COLUMNS($M$27:V35)-1),1,1)</f>
        <v>0</v>
      </c>
      <c r="O36" s="7">
        <f ca="1">OFFSET($U$5,(ROWS($L$27:V35)-1),-(ROWS($L$27:V35)-1)+(COLUMNS($M$27:W35)-1),1,1)</f>
        <v>0</v>
      </c>
      <c r="P36" s="7">
        <f ca="1">OFFSET($U$5,(ROWS($L$27:W35)-1),-(ROWS($L$27:W35)-1)+(COLUMNS($M$27:X35)-1),1,1)</f>
        <v>0</v>
      </c>
      <c r="Q36" s="7">
        <f ca="1">OFFSET($U$5,(ROWS($L$27:X35)-1),-(ROWS($L$27:X35)-1)+(COLUMNS($M$27:Y35)-1),1,1)</f>
        <v>0</v>
      </c>
      <c r="R36" s="7">
        <f ca="1">OFFSET($U$5,(ROWS($L$27:Y35)-1),-(ROWS($L$27:Y35)-1)+(COLUMNS($M$27:Z35)-1),1,1)</f>
        <v>0</v>
      </c>
      <c r="S36" s="7">
        <f ca="1">OFFSET($U$5,(ROWS($L$27:Z35)-1),-(ROWS($L$27:Z35)-1)+(COLUMNS($M$27:AA35)-1),1,1)</f>
        <v>0</v>
      </c>
      <c r="T36" s="7">
        <f ca="1">OFFSET($U$5,(ROWS($L$27:AA35)-1),-(ROWS($L$27:AA35)-1)+(COLUMNS($M$27:AB35)-1),1,1)</f>
        <v>0</v>
      </c>
      <c r="U36" s="7">
        <f ca="1">OFFSET($U$5,(ROWS($L$27:AB35)-1),-(ROWS($L$27:AB35)-1)+(COLUMNS($M$27:AC35)-1),1,1)</f>
        <v>0</v>
      </c>
      <c r="V36" s="7">
        <f ca="1">OFFSET($U$5,(ROWS($L$27:AC35)-1),-(ROWS($L$27:AC35)-1)+(COLUMNS($M$27:AD35)-1),1,1)</f>
        <v>0</v>
      </c>
      <c r="W36" s="7">
        <f ca="1">OFFSET($U$5,(ROWS($L$27:AD35)-1),-(ROWS($L$27:AD35)-1)+(COLUMNS($M$27:AE35)-1),1,1)</f>
        <v>0</v>
      </c>
      <c r="X36" s="7">
        <f ca="1">OFFSET($U$5,(ROWS($L$27:AE35)-1),-(ROWS($L$27:AE35)-1)+(COLUMNS($M$27:AF35)-1),1,1)</f>
        <v>0</v>
      </c>
    </row>
    <row r="37" spans="2:24" x14ac:dyDescent="0.25">
      <c r="B37" s="5" t="str">
        <f t="shared" si="1"/>
        <v>201206</v>
      </c>
      <c r="C37" s="7">
        <f ca="1">'CC examples - CAS'!D40</f>
        <v>4600.6671729999998</v>
      </c>
      <c r="D37" s="7">
        <f ca="1">OFFSET($U$5,(ROWS($L$27:L36)-1)+(COLUMNS($M$27:M36)-1),-(ROWS($L$27:L36)-1),1,1)</f>
        <v>4719.5838999999996</v>
      </c>
      <c r="E37" s="7">
        <f ca="1">OFFSET($U$5,(ROWS($L$27:M36)-1),-(ROWS($L$27:M36)-1)+(COLUMNS($M$27:N36)-1),1,1)</f>
        <v>5136.5306609999998</v>
      </c>
      <c r="F37" s="7">
        <f ca="1">OFFSET($U$5,(ROWS($L$27:N36)-1),-(ROWS($L$27:N36)-1)+(COLUMNS($M$27:O36)-1),1,1)</f>
        <v>5207.5156580000003</v>
      </c>
      <c r="G37" s="7">
        <f ca="1">OFFSET($U$5,(ROWS($L$27:O36)-1),-(ROWS($L$27:O36)-1)+(COLUMNS($M$27:P36)-1),1,1)</f>
        <v>5588.9582950000004</v>
      </c>
      <c r="H37" s="7">
        <f ca="1">OFFSET($U$5,(ROWS($L$27:P36)-1),-(ROWS($L$27:P36)-1)+(COLUMNS($M$27:Q36)-1),1,1)</f>
        <v>6253.5387650000002</v>
      </c>
      <c r="I37" s="7">
        <f ca="1">OFFSET($U$5,(ROWS($L$27:Q36)-1),-(ROWS($L$27:Q36)-1)+(COLUMNS($M$27:R36)-1),1,1)</f>
        <v>6507.1014530000002</v>
      </c>
      <c r="J37" s="7">
        <f ca="1">OFFSET($U$5,(ROWS($L$27:R36)-1),-(ROWS($L$27:R36)-1)+(COLUMNS($M$27:S36)-1),1,1)</f>
        <v>6507.1014530000002</v>
      </c>
      <c r="K37" s="7">
        <f ca="1">OFFSET($U$5,(ROWS($L$27:S36)-1),-(ROWS($L$27:S36)-1)+(COLUMNS($M$27:T36)-1),1,1)</f>
        <v>6593.0484040000001</v>
      </c>
      <c r="L37" s="7">
        <f ca="1">OFFSET($U$5,(ROWS($L$27:T36)-1),-(ROWS($L$27:T36)-1)+(COLUMNS($M$27:U36)-1),1,1)</f>
        <v>6603.6508139999996</v>
      </c>
      <c r="M37" s="7">
        <f ca="1">OFFSET($U$5,(ROWS($L$27:U36)-1),-(ROWS($L$27:U36)-1)+(COLUMNS($M$27:V36)-1),1,1)</f>
        <v>6659.0344580000001</v>
      </c>
      <c r="N37" s="7">
        <f ca="1">OFFSET($U$5,(ROWS($L$27:V36)-1),-(ROWS($L$27:V36)-1)+(COLUMNS($M$27:V36)-1),1,1)</f>
        <v>6659.0344580000001</v>
      </c>
      <c r="O37" s="7">
        <f ca="1">OFFSET($U$5,(ROWS($L$27:V36)-1),-(ROWS($L$27:V36)-1)+(COLUMNS($M$27:W36)-1),1,1)</f>
        <v>0</v>
      </c>
      <c r="P37" s="7">
        <f ca="1">OFFSET($U$5,(ROWS($L$27:W36)-1),-(ROWS($L$27:W36)-1)+(COLUMNS($M$27:X36)-1),1,1)</f>
        <v>0</v>
      </c>
      <c r="Q37" s="7">
        <f ca="1">OFFSET($U$5,(ROWS($L$27:X36)-1),-(ROWS($L$27:X36)-1)+(COLUMNS($M$27:Y36)-1),1,1)</f>
        <v>0</v>
      </c>
      <c r="R37" s="7">
        <f ca="1">OFFSET($U$5,(ROWS($L$27:Y36)-1),-(ROWS($L$27:Y36)-1)+(COLUMNS($M$27:Z36)-1),1,1)</f>
        <v>0</v>
      </c>
      <c r="S37" s="7">
        <f ca="1">OFFSET($U$5,(ROWS($L$27:Z36)-1),-(ROWS($L$27:Z36)-1)+(COLUMNS($M$27:AA36)-1),1,1)</f>
        <v>0</v>
      </c>
      <c r="T37" s="7">
        <f ca="1">OFFSET($U$5,(ROWS($L$27:AA36)-1),-(ROWS($L$27:AA36)-1)+(COLUMNS($M$27:AB36)-1),1,1)</f>
        <v>0</v>
      </c>
      <c r="U37" s="7">
        <f ca="1">OFFSET($U$5,(ROWS($L$27:AB36)-1),-(ROWS($L$27:AB36)-1)+(COLUMNS($M$27:AC36)-1),1,1)</f>
        <v>0</v>
      </c>
      <c r="V37" s="7">
        <f ca="1">OFFSET($U$5,(ROWS($L$27:AC36)-1),-(ROWS($L$27:AC36)-1)+(COLUMNS($M$27:AD36)-1),1,1)</f>
        <v>0</v>
      </c>
      <c r="W37" s="7">
        <f ca="1">OFFSET($U$5,(ROWS($L$27:AD36)-1),-(ROWS($L$27:AD36)-1)+(COLUMNS($M$27:AE36)-1),1,1)</f>
        <v>0</v>
      </c>
      <c r="X37" s="7">
        <f ca="1">OFFSET($U$5,(ROWS($L$27:AE36)-1),-(ROWS($L$27:AE36)-1)+(COLUMNS($M$27:AF36)-1),1,1)</f>
        <v>0</v>
      </c>
    </row>
    <row r="38" spans="2:24" x14ac:dyDescent="0.25">
      <c r="B38" s="5" t="str">
        <f t="shared" si="1"/>
        <v>201209</v>
      </c>
      <c r="C38" s="7">
        <f ca="1">'CC examples - CAS'!D41</f>
        <v>6825.708533</v>
      </c>
      <c r="D38" s="7">
        <f ca="1">OFFSET($U$5,(ROWS($L$27:L37)-1)+(COLUMNS($M$27:M37)-1),-(ROWS($L$27:L37)-1),1,1)</f>
        <v>7024.7013589999997</v>
      </c>
      <c r="E38" s="7">
        <f ca="1">OFFSET($U$5,(ROWS($L$27:M37)-1),-(ROWS($L$27:M37)-1)+(COLUMNS($M$27:N37)-1),1,1)</f>
        <v>7046.0921870000002</v>
      </c>
      <c r="F38" s="7">
        <f ca="1">OFFSET($U$5,(ROWS($L$27:N37)-1),-(ROWS($L$27:N37)-1)+(COLUMNS($M$27:O37)-1),1,1)</f>
        <v>7394.1814080000004</v>
      </c>
      <c r="G38" s="7">
        <f ca="1">OFFSET($U$5,(ROWS($L$27:O37)-1),-(ROWS($L$27:O37)-1)+(COLUMNS($M$27:P37)-1),1,1)</f>
        <v>10204.447920000001</v>
      </c>
      <c r="H38" s="7">
        <f ca="1">OFFSET($U$5,(ROWS($L$27:P37)-1),-(ROWS($L$27:P37)-1)+(COLUMNS($M$27:Q37)-1),1,1)</f>
        <v>9914.8928360000009</v>
      </c>
      <c r="I38" s="7">
        <f ca="1">OFFSET($U$5,(ROWS($L$27:Q37)-1),-(ROWS($L$27:Q37)-1)+(COLUMNS($M$27:R37)-1),1,1)</f>
        <v>9643.3920789999993</v>
      </c>
      <c r="J38" s="7">
        <f ca="1">OFFSET($U$5,(ROWS($L$27:R37)-1),-(ROWS($L$27:R37)-1)+(COLUMNS($M$27:S37)-1),1,1)</f>
        <v>9928.9712560000007</v>
      </c>
      <c r="K38" s="7">
        <f ca="1">OFFSET($U$5,(ROWS($L$27:S37)-1),-(ROWS($L$27:S37)-1)+(COLUMNS($M$27:T37)-1),1,1)</f>
        <v>10268.887790000001</v>
      </c>
      <c r="L38" s="7">
        <f ca="1">OFFSET($U$5,(ROWS($L$27:T37)-1),-(ROWS($L$27:T37)-1)+(COLUMNS($M$27:U37)-1),1,1)</f>
        <v>10221.3397</v>
      </c>
      <c r="M38" s="7">
        <f ca="1">OFFSET($U$5,(ROWS($L$27:U37)-1),-(ROWS($L$27:U37)-1)+(COLUMNS($M$27:V37)-1),1,1)</f>
        <v>10808.436540000001</v>
      </c>
      <c r="N38" s="7">
        <f ca="1">OFFSET($U$5,(ROWS($L$27:V37)-1),-(ROWS($L$27:V37)-1)+(COLUMNS($M$27:V37)-1),1,1)</f>
        <v>10808.436540000001</v>
      </c>
      <c r="O38" s="7">
        <f ca="1">OFFSET($U$5,(ROWS($L$27:V37)-1),-(ROWS($L$27:V37)-1)+(COLUMNS($M$27:W37)-1),1,1)</f>
        <v>10913.053970000001</v>
      </c>
      <c r="P38" s="7">
        <f ca="1">OFFSET($U$5,(ROWS($L$27:W37)-1),-(ROWS($L$27:W37)-1)+(COLUMNS($M$27:X37)-1),1,1)</f>
        <v>0</v>
      </c>
      <c r="Q38" s="7">
        <f ca="1">OFFSET($U$5,(ROWS($L$27:X37)-1),-(ROWS($L$27:X37)-1)+(COLUMNS($M$27:Y37)-1),1,1)</f>
        <v>0</v>
      </c>
      <c r="R38" s="7">
        <f ca="1">OFFSET($U$5,(ROWS($L$27:Y37)-1),-(ROWS($L$27:Y37)-1)+(COLUMNS($M$27:Z37)-1),1,1)</f>
        <v>0</v>
      </c>
      <c r="S38" s="7">
        <f ca="1">OFFSET($U$5,(ROWS($L$27:Z37)-1),-(ROWS($L$27:Z37)-1)+(COLUMNS($M$27:AA37)-1),1,1)</f>
        <v>0</v>
      </c>
      <c r="T38" s="7">
        <f ca="1">OFFSET($U$5,(ROWS($L$27:AA37)-1),-(ROWS($L$27:AA37)-1)+(COLUMNS($M$27:AB37)-1),1,1)</f>
        <v>0</v>
      </c>
      <c r="U38" s="7">
        <f ca="1">OFFSET($U$5,(ROWS($L$27:AB37)-1),-(ROWS($L$27:AB37)-1)+(COLUMNS($M$27:AC37)-1),1,1)</f>
        <v>0</v>
      </c>
      <c r="V38" s="7">
        <f ca="1">OFFSET($U$5,(ROWS($L$27:AC37)-1),-(ROWS($L$27:AC37)-1)+(COLUMNS($M$27:AD37)-1),1,1)</f>
        <v>0</v>
      </c>
      <c r="W38" s="7">
        <f ca="1">OFFSET($U$5,(ROWS($L$27:AD37)-1),-(ROWS($L$27:AD37)-1)+(COLUMNS($M$27:AE37)-1),1,1)</f>
        <v>0</v>
      </c>
      <c r="X38" s="7">
        <f ca="1">OFFSET($U$5,(ROWS($L$27:AE37)-1),-(ROWS($L$27:AE37)-1)+(COLUMNS($M$27:AF37)-1),1,1)</f>
        <v>0</v>
      </c>
    </row>
    <row r="39" spans="2:24" x14ac:dyDescent="0.25">
      <c r="B39" s="5" t="str">
        <f t="shared" si="1"/>
        <v>201212</v>
      </c>
      <c r="C39" s="7">
        <f ca="1">'CC examples - CAS'!D42</f>
        <v>5107.3856580000001</v>
      </c>
      <c r="D39" s="7">
        <f ca="1">OFFSET($U$5,(ROWS($L$27:L38)-1)+(COLUMNS($M$27:M38)-1),-(ROWS($L$27:L38)-1),1,1)</f>
        <v>4983.9001289999997</v>
      </c>
      <c r="E39" s="7">
        <f ca="1">OFFSET($U$5,(ROWS($L$27:M38)-1),-(ROWS($L$27:M38)-1)+(COLUMNS($M$27:N38)-1),1,1)</f>
        <v>4971.5539010000002</v>
      </c>
      <c r="F39" s="7">
        <f ca="1">OFFSET($U$5,(ROWS($L$27:N38)-1),-(ROWS($L$27:N38)-1)+(COLUMNS($M$27:O38)-1),1,1)</f>
        <v>5328.3970859999999</v>
      </c>
      <c r="G39" s="7">
        <f ca="1">OFFSET($U$5,(ROWS($L$27:O38)-1),-(ROWS($L$27:O38)-1)+(COLUMNS($M$27:P38)-1),1,1)</f>
        <v>5752.4818740000001</v>
      </c>
      <c r="H39" s="7">
        <f ca="1">OFFSET($U$5,(ROWS($L$27:P38)-1),-(ROWS($L$27:P38)-1)+(COLUMNS($M$27:Q38)-1),1,1)</f>
        <v>5802.3434280000001</v>
      </c>
      <c r="I39" s="7">
        <f ca="1">OFFSET($U$5,(ROWS($L$27:Q38)-1),-(ROWS($L$27:Q38)-1)+(COLUMNS($M$27:R38)-1),1,1)</f>
        <v>5553.6169280000004</v>
      </c>
      <c r="J39" s="7">
        <f ca="1">OFFSET($U$5,(ROWS($L$27:R38)-1),-(ROWS($L$27:R38)-1)+(COLUMNS($M$27:S38)-1),1,1)</f>
        <v>6082.8887860000004</v>
      </c>
      <c r="K39" s="7">
        <f ca="1">OFFSET($U$5,(ROWS($L$27:S38)-1),-(ROWS($L$27:S38)-1)+(COLUMNS($M$27:T38)-1),1,1)</f>
        <v>6529.6432000000004</v>
      </c>
      <c r="L39" s="7">
        <f ca="1">OFFSET($U$5,(ROWS($L$27:T38)-1),-(ROWS($L$27:T38)-1)+(COLUMNS($M$27:U38)-1),1,1)</f>
        <v>6522.7841850000004</v>
      </c>
      <c r="M39" s="7">
        <f ca="1">OFFSET($U$5,(ROWS($L$27:U38)-1),-(ROWS($L$27:U38)-1)+(COLUMNS($M$27:V38)-1),1,1)</f>
        <v>6564.8683129999999</v>
      </c>
      <c r="N39" s="7">
        <f ca="1">OFFSET($U$5,(ROWS($L$27:V38)-1),-(ROWS($L$27:V38)-1)+(COLUMNS($M$27:V38)-1),1,1)</f>
        <v>6564.8683129999999</v>
      </c>
      <c r="O39" s="7">
        <f ca="1">OFFSET($U$5,(ROWS($L$27:V38)-1),-(ROWS($L$27:V38)-1)+(COLUMNS($M$27:W38)-1),1,1)</f>
        <v>6569.7045010000002</v>
      </c>
      <c r="P39" s="7">
        <f ca="1">OFFSET($U$5,(ROWS($L$27:W38)-1),-(ROWS($L$27:W38)-1)+(COLUMNS($M$27:X38)-1),1,1)</f>
        <v>6519.645313</v>
      </c>
      <c r="Q39" s="7">
        <f ca="1">OFFSET($U$5,(ROWS($L$27:X38)-1),-(ROWS($L$27:X38)-1)+(COLUMNS($M$27:Y38)-1),1,1)</f>
        <v>0</v>
      </c>
      <c r="R39" s="7">
        <f ca="1">OFFSET($U$5,(ROWS($L$27:Y38)-1),-(ROWS($L$27:Y38)-1)+(COLUMNS($M$27:Z38)-1),1,1)</f>
        <v>0</v>
      </c>
      <c r="S39" s="7">
        <f ca="1">OFFSET($U$5,(ROWS($L$27:Z38)-1),-(ROWS($L$27:Z38)-1)+(COLUMNS($M$27:AA38)-1),1,1)</f>
        <v>0</v>
      </c>
      <c r="T39" s="7">
        <f ca="1">OFFSET($U$5,(ROWS($L$27:AA38)-1),-(ROWS($L$27:AA38)-1)+(COLUMNS($M$27:AB38)-1),1,1)</f>
        <v>0</v>
      </c>
      <c r="U39" s="7">
        <f ca="1">OFFSET($U$5,(ROWS($L$27:AB38)-1),-(ROWS($L$27:AB38)-1)+(COLUMNS($M$27:AC38)-1),1,1)</f>
        <v>0</v>
      </c>
      <c r="V39" s="7">
        <f ca="1">OFFSET($U$5,(ROWS($L$27:AC38)-1),-(ROWS($L$27:AC38)-1)+(COLUMNS($M$27:AD38)-1),1,1)</f>
        <v>0</v>
      </c>
      <c r="W39" s="7">
        <f ca="1">OFFSET($U$5,(ROWS($L$27:AD38)-1),-(ROWS($L$27:AD38)-1)+(COLUMNS($M$27:AE38)-1),1,1)</f>
        <v>0</v>
      </c>
      <c r="X39" s="7">
        <f ca="1">OFFSET($U$5,(ROWS($L$27:AE38)-1),-(ROWS($L$27:AE38)-1)+(COLUMNS($M$27:AF38)-1),1,1)</f>
        <v>0</v>
      </c>
    </row>
    <row r="40" spans="2:24" x14ac:dyDescent="0.25">
      <c r="B40" s="5" t="str">
        <f t="shared" si="1"/>
        <v>201303</v>
      </c>
      <c r="C40" s="7">
        <f ca="1">'CC examples - CAS'!D43</f>
        <v>4847.1499620000004</v>
      </c>
      <c r="D40" s="7">
        <f ca="1">OFFSET($U$5,(ROWS($L$27:L39)-1)+(COLUMNS($M$27:M39)-1),-(ROWS($L$27:L39)-1),1,1)</f>
        <v>4766.701849</v>
      </c>
      <c r="E40" s="7">
        <f ca="1">OFFSET($U$5,(ROWS($L$27:M39)-1),-(ROWS($L$27:M39)-1)+(COLUMNS($M$27:N39)-1),1,1)</f>
        <v>5146.9121880000002</v>
      </c>
      <c r="F40" s="7">
        <f ca="1">OFFSET($U$5,(ROWS($L$27:N39)-1),-(ROWS($L$27:N39)-1)+(COLUMNS($M$27:O39)-1),1,1)</f>
        <v>5977.1088170000003</v>
      </c>
      <c r="G40" s="7">
        <f ca="1">OFFSET($U$5,(ROWS($L$27:O39)-1),-(ROWS($L$27:O39)-1)+(COLUMNS($M$27:P39)-1),1,1)</f>
        <v>5955.4157269999996</v>
      </c>
      <c r="H40" s="7">
        <f ca="1">OFFSET($U$5,(ROWS($L$27:P39)-1),-(ROWS($L$27:P39)-1)+(COLUMNS($M$27:Q39)-1),1,1)</f>
        <v>6004.4983769999999</v>
      </c>
      <c r="I40" s="7">
        <f ca="1">OFFSET($U$5,(ROWS($L$27:Q39)-1),-(ROWS($L$27:Q39)-1)+(COLUMNS($M$27:R39)-1),1,1)</f>
        <v>6077.2969439999997</v>
      </c>
      <c r="J40" s="7">
        <f ca="1">OFFSET($U$5,(ROWS($L$27:R39)-1),-(ROWS($L$27:R39)-1)+(COLUMNS($M$27:S39)-1),1,1)</f>
        <v>6227.9744010000004</v>
      </c>
      <c r="K40" s="7">
        <f ca="1">OFFSET($U$5,(ROWS($L$27:S39)-1),-(ROWS($L$27:S39)-1)+(COLUMNS($M$27:T39)-1),1,1)</f>
        <v>6501.9281279999996</v>
      </c>
      <c r="L40" s="7">
        <f ca="1">OFFSET($U$5,(ROWS($L$27:T39)-1),-(ROWS($L$27:T39)-1)+(COLUMNS($M$27:U39)-1),1,1)</f>
        <v>6590.2234200000003</v>
      </c>
      <c r="M40" s="7">
        <f ca="1">OFFSET($U$5,(ROWS($L$27:U39)-1),-(ROWS($L$27:U39)-1)+(COLUMNS($M$27:V39)-1),1,1)</f>
        <v>6602.7091529999998</v>
      </c>
      <c r="N40" s="7">
        <f ca="1">OFFSET($U$5,(ROWS($L$27:V39)-1),-(ROWS($L$27:V39)-1)+(COLUMNS($M$27:V39)-1),1,1)</f>
        <v>6602.7091529999998</v>
      </c>
      <c r="O40" s="7">
        <f ca="1">OFFSET($U$5,(ROWS($L$27:V39)-1),-(ROWS($L$27:V39)-1)+(COLUMNS($M$27:W39)-1),1,1)</f>
        <v>7606.7643850000004</v>
      </c>
      <c r="P40" s="7">
        <f ca="1">OFFSET($U$5,(ROWS($L$27:W39)-1),-(ROWS($L$27:W39)-1)+(COLUMNS($M$27:X39)-1),1,1)</f>
        <v>7754.2564679999996</v>
      </c>
      <c r="Q40" s="7">
        <f ca="1">OFFSET($U$5,(ROWS($L$27:X39)-1),-(ROWS($L$27:X39)-1)+(COLUMNS($M$27:Y39)-1),1,1)</f>
        <v>7754.2564679999996</v>
      </c>
      <c r="R40" s="7">
        <f ca="1">OFFSET($U$5,(ROWS($L$27:Y39)-1),-(ROWS($L$27:Y39)-1)+(COLUMNS($M$27:Z39)-1),1,1)</f>
        <v>0</v>
      </c>
      <c r="S40" s="7">
        <f ca="1">OFFSET($U$5,(ROWS($L$27:Z39)-1),-(ROWS($L$27:Z39)-1)+(COLUMNS($M$27:AA39)-1),1,1)</f>
        <v>0</v>
      </c>
      <c r="T40" s="7">
        <f ca="1">OFFSET($U$5,(ROWS($L$27:AA39)-1),-(ROWS($L$27:AA39)-1)+(COLUMNS($M$27:AB39)-1),1,1)</f>
        <v>0</v>
      </c>
      <c r="U40" s="7">
        <f ca="1">OFFSET($U$5,(ROWS($L$27:AB39)-1),-(ROWS($L$27:AB39)-1)+(COLUMNS($M$27:AC39)-1),1,1)</f>
        <v>0</v>
      </c>
      <c r="V40" s="7">
        <f ca="1">OFFSET($U$5,(ROWS($L$27:AC39)-1),-(ROWS($L$27:AC39)-1)+(COLUMNS($M$27:AD39)-1),1,1)</f>
        <v>0</v>
      </c>
      <c r="W40" s="7">
        <f ca="1">OFFSET($U$5,(ROWS($L$27:AD39)-1),-(ROWS($L$27:AD39)-1)+(COLUMNS($M$27:AE39)-1),1,1)</f>
        <v>0</v>
      </c>
      <c r="X40" s="7">
        <f ca="1">OFFSET($U$5,(ROWS($L$27:AE39)-1),-(ROWS($L$27:AE39)-1)+(COLUMNS($M$27:AF39)-1),1,1)</f>
        <v>0</v>
      </c>
    </row>
    <row r="41" spans="2:24" x14ac:dyDescent="0.25">
      <c r="B41" s="5" t="str">
        <f t="shared" si="1"/>
        <v>201306</v>
      </c>
      <c r="C41" s="7">
        <f ca="1">'CC examples - CAS'!D44</f>
        <v>10125.441360000001</v>
      </c>
      <c r="D41" s="7">
        <f ca="1">OFFSET($U$5,(ROWS($L$27:L40)-1)+(COLUMNS($M$27:M40)-1),-(ROWS($L$27:L40)-1),1,1)</f>
        <v>10614.361279999999</v>
      </c>
      <c r="E41" s="7">
        <f ca="1">OFFSET($U$5,(ROWS($L$27:M40)-1),-(ROWS($L$27:M40)-1)+(COLUMNS($M$27:N40)-1),1,1)</f>
        <v>11270.87369</v>
      </c>
      <c r="F41" s="7">
        <f ca="1">OFFSET($U$5,(ROWS($L$27:N40)-1),-(ROWS($L$27:N40)-1)+(COLUMNS($M$27:O40)-1),1,1)</f>
        <v>11901.05445</v>
      </c>
      <c r="G41" s="7">
        <f ca="1">OFFSET($U$5,(ROWS($L$27:O40)-1),-(ROWS($L$27:O40)-1)+(COLUMNS($M$27:P40)-1),1,1)</f>
        <v>11493.187169999999</v>
      </c>
      <c r="H41" s="7">
        <f ca="1">OFFSET($U$5,(ROWS($L$27:P40)-1),-(ROWS($L$27:P40)-1)+(COLUMNS($M$27:Q40)-1),1,1)</f>
        <v>11492.571019999999</v>
      </c>
      <c r="I41" s="7">
        <f ca="1">OFFSET($U$5,(ROWS($L$27:Q40)-1),-(ROWS($L$27:Q40)-1)+(COLUMNS($M$27:R40)-1),1,1)</f>
        <v>11778.18507</v>
      </c>
      <c r="J41" s="7">
        <f ca="1">OFFSET($U$5,(ROWS($L$27:R40)-1),-(ROWS($L$27:R40)-1)+(COLUMNS($M$27:S40)-1),1,1)</f>
        <v>11795.65812</v>
      </c>
      <c r="K41" s="7">
        <f ca="1">OFFSET($U$5,(ROWS($L$27:S40)-1),-(ROWS($L$27:S40)-1)+(COLUMNS($M$27:T40)-1),1,1)</f>
        <v>11238.04342</v>
      </c>
      <c r="L41" s="7">
        <f ca="1">OFFSET($U$5,(ROWS($L$27:T40)-1),-(ROWS($L$27:T40)-1)+(COLUMNS($M$27:U40)-1),1,1)</f>
        <v>11358.48308</v>
      </c>
      <c r="M41" s="7">
        <f ca="1">OFFSET($U$5,(ROWS($L$27:U40)-1),-(ROWS($L$27:U40)-1)+(COLUMNS($M$27:V40)-1),1,1)</f>
        <v>11098.735650000001</v>
      </c>
      <c r="N41" s="7">
        <f ca="1">OFFSET($U$5,(ROWS($L$27:V40)-1),-(ROWS($L$27:V40)-1)+(COLUMNS($M$27:V40)-1),1,1)</f>
        <v>11098.735650000001</v>
      </c>
      <c r="O41" s="7">
        <f ca="1">OFFSET($U$5,(ROWS($L$27:V40)-1),-(ROWS($L$27:V40)-1)+(COLUMNS($M$27:W40)-1),1,1)</f>
        <v>11107.071099999999</v>
      </c>
      <c r="P41" s="7">
        <f ca="1">OFFSET($U$5,(ROWS($L$27:W40)-1),-(ROWS($L$27:W40)-1)+(COLUMNS($M$27:X40)-1),1,1)</f>
        <v>11450.114869999999</v>
      </c>
      <c r="Q41" s="7">
        <f ca="1">OFFSET($U$5,(ROWS($L$27:X40)-1),-(ROWS($L$27:X40)-1)+(COLUMNS($M$27:Y40)-1),1,1)</f>
        <v>11413.3087</v>
      </c>
      <c r="R41" s="7">
        <f ca="1">OFFSET($U$5,(ROWS($L$27:Y40)-1),-(ROWS($L$27:Y40)-1)+(COLUMNS($M$27:Z40)-1),1,1)</f>
        <v>11607.407209999999</v>
      </c>
      <c r="S41" s="7">
        <f ca="1">OFFSET($U$5,(ROWS($L$27:Z40)-1),-(ROWS($L$27:Z40)-1)+(COLUMNS($M$27:AA40)-1),1,1)</f>
        <v>0</v>
      </c>
      <c r="T41" s="7">
        <f ca="1">OFFSET($U$5,(ROWS($L$27:AA40)-1),-(ROWS($L$27:AA40)-1)+(COLUMNS($M$27:AB40)-1),1,1)</f>
        <v>0</v>
      </c>
      <c r="U41" s="7">
        <f ca="1">OFFSET($U$5,(ROWS($L$27:AB40)-1),-(ROWS($L$27:AB40)-1)+(COLUMNS($M$27:AC40)-1),1,1)</f>
        <v>0</v>
      </c>
      <c r="V41" s="7">
        <f ca="1">OFFSET($U$5,(ROWS($L$27:AC40)-1),-(ROWS($L$27:AC40)-1)+(COLUMNS($M$27:AD40)-1),1,1)</f>
        <v>0</v>
      </c>
      <c r="W41" s="7">
        <f ca="1">OFFSET($U$5,(ROWS($L$27:AD40)-1),-(ROWS($L$27:AD40)-1)+(COLUMNS($M$27:AE40)-1),1,1)</f>
        <v>0</v>
      </c>
      <c r="X41" s="7">
        <f ca="1">OFFSET($U$5,(ROWS($L$27:AE40)-1),-(ROWS($L$27:AE40)-1)+(COLUMNS($M$27:AF40)-1),1,1)</f>
        <v>0</v>
      </c>
    </row>
    <row r="42" spans="2:24" x14ac:dyDescent="0.25">
      <c r="B42" s="5" t="str">
        <f t="shared" si="1"/>
        <v>201309</v>
      </c>
      <c r="C42" s="7">
        <f ca="1">'CC examples - CAS'!D45</f>
        <v>4755.1345259999998</v>
      </c>
      <c r="D42" s="7">
        <f ca="1">OFFSET($U$5,(ROWS($L$27:L41)-1)+(COLUMNS($M$27:M41)-1),-(ROWS($L$27:L41)-1),1,1)</f>
        <v>4882.154192</v>
      </c>
      <c r="E42" s="7">
        <f ca="1">OFFSET($U$5,(ROWS($L$27:M41)-1),-(ROWS($L$27:M41)-1)+(COLUMNS($M$27:N41)-1),1,1)</f>
        <v>4970.0774689999998</v>
      </c>
      <c r="F42" s="7">
        <f ca="1">OFFSET($U$5,(ROWS($L$27:N41)-1),-(ROWS($L$27:N41)-1)+(COLUMNS($M$27:O41)-1),1,1)</f>
        <v>4877.0738700000002</v>
      </c>
      <c r="G42" s="7">
        <f ca="1">OFFSET($U$5,(ROWS($L$27:O41)-1),-(ROWS($L$27:O41)-1)+(COLUMNS($M$27:P41)-1),1,1)</f>
        <v>5969.3778929999999</v>
      </c>
      <c r="H42" s="7">
        <f ca="1">OFFSET($U$5,(ROWS($L$27:P41)-1),-(ROWS($L$27:P41)-1)+(COLUMNS($M$27:Q41)-1),1,1)</f>
        <v>6023.1572239999996</v>
      </c>
      <c r="I42" s="7">
        <f ca="1">OFFSET($U$5,(ROWS($L$27:Q41)-1),-(ROWS($L$27:Q41)-1)+(COLUMNS($M$27:R41)-1),1,1)</f>
        <v>6167.7196940000003</v>
      </c>
      <c r="J42" s="7">
        <f ca="1">OFFSET($U$5,(ROWS($L$27:R41)-1),-(ROWS($L$27:R41)-1)+(COLUMNS($M$27:S41)-1),1,1)</f>
        <v>6383.5577970000004</v>
      </c>
      <c r="K42" s="7">
        <f ca="1">OFFSET($U$5,(ROWS($L$27:S41)-1),-(ROWS($L$27:S41)-1)+(COLUMNS($M$27:T41)-1),1,1)</f>
        <v>7814.5111749999996</v>
      </c>
      <c r="L42" s="7">
        <f ca="1">OFFSET($U$5,(ROWS($L$27:T41)-1),-(ROWS($L$27:T41)-1)+(COLUMNS($M$27:U41)-1),1,1)</f>
        <v>7804.3621569999996</v>
      </c>
      <c r="M42" s="7">
        <f ca="1">OFFSET($U$5,(ROWS($L$27:U41)-1),-(ROWS($L$27:U41)-1)+(COLUMNS($M$27:V41)-1),1,1)</f>
        <v>7262.1627989999997</v>
      </c>
      <c r="N42" s="7">
        <f ca="1">OFFSET($U$5,(ROWS($L$27:V41)-1),-(ROWS($L$27:V41)-1)+(COLUMNS($M$27:V41)-1),1,1)</f>
        <v>7262.1627989999997</v>
      </c>
      <c r="O42" s="7">
        <f ca="1">OFFSET($U$5,(ROWS($L$27:V41)-1),-(ROWS($L$27:V41)-1)+(COLUMNS($M$27:W41)-1),1,1)</f>
        <v>8047.0783009999996</v>
      </c>
      <c r="P42" s="7">
        <f ca="1">OFFSET($U$5,(ROWS($L$27:W41)-1),-(ROWS($L$27:W41)-1)+(COLUMNS($M$27:X41)-1),1,1)</f>
        <v>8041.8468480000001</v>
      </c>
      <c r="Q42" s="7">
        <f ca="1">OFFSET($U$5,(ROWS($L$27:X41)-1),-(ROWS($L$27:X41)-1)+(COLUMNS($M$27:Y41)-1),1,1)</f>
        <v>8288.3180119999997</v>
      </c>
      <c r="R42" s="7">
        <f ca="1">OFFSET($U$5,(ROWS($L$27:Y41)-1),-(ROWS($L$27:Y41)-1)+(COLUMNS($M$27:Z41)-1),1,1)</f>
        <v>8340.237271</v>
      </c>
      <c r="S42" s="7">
        <f ca="1">OFFSET($U$5,(ROWS($L$27:Z41)-1),-(ROWS($L$27:Z41)-1)+(COLUMNS($M$27:AA41)-1),1,1)</f>
        <v>8329.8092429999997</v>
      </c>
      <c r="T42" s="7">
        <f ca="1">OFFSET($U$5,(ROWS($L$27:AA41)-1),-(ROWS($L$27:AA41)-1)+(COLUMNS($M$27:AB41)-1),1,1)</f>
        <v>0</v>
      </c>
      <c r="U42" s="7">
        <f ca="1">OFFSET($U$5,(ROWS($L$27:AB41)-1),-(ROWS($L$27:AB41)-1)+(COLUMNS($M$27:AC41)-1),1,1)</f>
        <v>0</v>
      </c>
      <c r="V42" s="7">
        <f ca="1">OFFSET($U$5,(ROWS($L$27:AC41)-1),-(ROWS($L$27:AC41)-1)+(COLUMNS($M$27:AD41)-1),1,1)</f>
        <v>0</v>
      </c>
      <c r="W42" s="7">
        <f ca="1">OFFSET($U$5,(ROWS($L$27:AD41)-1),-(ROWS($L$27:AD41)-1)+(COLUMNS($M$27:AE41)-1),1,1)</f>
        <v>0</v>
      </c>
      <c r="X42" s="7">
        <f ca="1">OFFSET($U$5,(ROWS($L$27:AE41)-1),-(ROWS($L$27:AE41)-1)+(COLUMNS($M$27:AF41)-1),1,1)</f>
        <v>0</v>
      </c>
    </row>
    <row r="43" spans="2:24" x14ac:dyDescent="0.25">
      <c r="B43" s="5" t="str">
        <f t="shared" si="1"/>
        <v>201312</v>
      </c>
      <c r="C43" s="7">
        <f ca="1">'CC examples - CAS'!D46</f>
        <v>7419.1993769999999</v>
      </c>
      <c r="D43" s="7">
        <f ca="1">OFFSET($U$5,(ROWS($L$27:L42)-1)+(COLUMNS($M$27:M42)-1),-(ROWS($L$27:L42)-1),1,1)</f>
        <v>7356.6312049999997</v>
      </c>
      <c r="E43" s="7">
        <f ca="1">OFFSET($U$5,(ROWS($L$27:M42)-1),-(ROWS($L$27:M42)-1)+(COLUMNS($M$27:N42)-1),1,1)</f>
        <v>7117.6933330000002</v>
      </c>
      <c r="F43" s="7">
        <f ca="1">OFFSET($U$5,(ROWS($L$27:N42)-1),-(ROWS($L$27:N42)-1)+(COLUMNS($M$27:O42)-1),1,1)</f>
        <v>7671.2507560000004</v>
      </c>
      <c r="G43" s="7">
        <f ca="1">OFFSET($U$5,(ROWS($L$27:O42)-1),-(ROWS($L$27:O42)-1)+(COLUMNS($M$27:P42)-1),1,1)</f>
        <v>7983.9056060000003</v>
      </c>
      <c r="H43" s="7">
        <f ca="1">OFFSET($U$5,(ROWS($L$27:P42)-1),-(ROWS($L$27:P42)-1)+(COLUMNS($M$27:Q42)-1),1,1)</f>
        <v>8775.8312540000006</v>
      </c>
      <c r="I43" s="7">
        <f ca="1">OFFSET($U$5,(ROWS($L$27:Q42)-1),-(ROWS($L$27:Q42)-1)+(COLUMNS($M$27:R42)-1),1,1)</f>
        <v>9575.2785679999997</v>
      </c>
      <c r="J43" s="7">
        <f ca="1">OFFSET($U$5,(ROWS($L$27:R42)-1),-(ROWS($L$27:R42)-1)+(COLUMNS($M$27:S42)-1),1,1)</f>
        <v>9614.8515989999996</v>
      </c>
      <c r="K43" s="7">
        <f ca="1">OFFSET($U$5,(ROWS($L$27:S42)-1),-(ROWS($L$27:S42)-1)+(COLUMNS($M$27:T42)-1),1,1)</f>
        <v>9884.143521</v>
      </c>
      <c r="L43" s="7">
        <f ca="1">OFFSET($U$5,(ROWS($L$27:T42)-1),-(ROWS($L$27:T42)-1)+(COLUMNS($M$27:U42)-1),1,1)</f>
        <v>9907.8826900000004</v>
      </c>
      <c r="M43" s="7">
        <f ca="1">OFFSET($U$5,(ROWS($L$27:U42)-1),-(ROWS($L$27:U42)-1)+(COLUMNS($M$27:V42)-1),1,1)</f>
        <v>7871.1271159999997</v>
      </c>
      <c r="N43" s="7">
        <f ca="1">OFFSET($U$5,(ROWS($L$27:V42)-1),-(ROWS($L$27:V42)-1)+(COLUMNS($M$27:V42)-1),1,1)</f>
        <v>7871.1271159999997</v>
      </c>
      <c r="O43" s="7">
        <f ca="1">OFFSET($U$5,(ROWS($L$27:V42)-1),-(ROWS($L$27:V42)-1)+(COLUMNS($M$27:W42)-1),1,1)</f>
        <v>8005.0290480000003</v>
      </c>
      <c r="P43" s="7">
        <f ca="1">OFFSET($U$5,(ROWS($L$27:W42)-1),-(ROWS($L$27:W42)-1)+(COLUMNS($M$27:X42)-1),1,1)</f>
        <v>7982.185039</v>
      </c>
      <c r="Q43" s="7">
        <f ca="1">OFFSET($U$5,(ROWS($L$27:X42)-1),-(ROWS($L$27:X42)-1)+(COLUMNS($M$27:Y42)-1),1,1)</f>
        <v>7897.8424000000005</v>
      </c>
      <c r="R43" s="7">
        <f ca="1">OFFSET($U$5,(ROWS($L$27:Y42)-1),-(ROWS($L$27:Y42)-1)+(COLUMNS($M$27:Z42)-1),1,1)</f>
        <v>7899.5978429999996</v>
      </c>
      <c r="S43" s="7">
        <f ca="1">OFFSET($U$5,(ROWS($L$27:Z42)-1),-(ROWS($L$27:Z42)-1)+(COLUMNS($M$27:AA42)-1),1,1)</f>
        <v>7894.4477690000003</v>
      </c>
      <c r="T43" s="7">
        <f ca="1">OFFSET($U$5,(ROWS($L$27:AA42)-1),-(ROWS($L$27:AA42)-1)+(COLUMNS($M$27:AB42)-1),1,1)</f>
        <v>7732.2378660000004</v>
      </c>
      <c r="U43" s="7">
        <f ca="1">OFFSET($U$5,(ROWS($L$27:AB42)-1),-(ROWS($L$27:AB42)-1)+(COLUMNS($M$27:AC42)-1),1,1)</f>
        <v>0</v>
      </c>
      <c r="V43" s="7">
        <f ca="1">OFFSET($U$5,(ROWS($L$27:AC42)-1),-(ROWS($L$27:AC42)-1)+(COLUMNS($M$27:AD42)-1),1,1)</f>
        <v>0</v>
      </c>
      <c r="W43" s="7">
        <f ca="1">OFFSET($U$5,(ROWS($L$27:AD42)-1),-(ROWS($L$27:AD42)-1)+(COLUMNS($M$27:AE42)-1),1,1)</f>
        <v>0</v>
      </c>
      <c r="X43" s="7">
        <f ca="1">OFFSET($U$5,(ROWS($L$27:AE42)-1),-(ROWS($L$27:AE42)-1)+(COLUMNS($M$27:AF42)-1),1,1)</f>
        <v>0</v>
      </c>
    </row>
    <row r="44" spans="2:24" x14ac:dyDescent="0.25">
      <c r="B44" s="5" t="str">
        <f t="shared" si="1"/>
        <v>201403</v>
      </c>
      <c r="C44" s="7">
        <f ca="1">'CC examples - CAS'!D47</f>
        <v>4024.5331259999998</v>
      </c>
      <c r="D44" s="7">
        <f ca="1">OFFSET($U$5,(ROWS($L$27:L43)-1)+(COLUMNS($M$27:M43)-1),-(ROWS($L$27:L43)-1),1,1)</f>
        <v>5070.7771160000002</v>
      </c>
      <c r="E44" s="7">
        <f ca="1">OFFSET($U$5,(ROWS($L$27:M43)-1),-(ROWS($L$27:M43)-1)+(COLUMNS($M$27:N43)-1),1,1)</f>
        <v>5653.8399310000004</v>
      </c>
      <c r="F44" s="7">
        <f ca="1">OFFSET($U$5,(ROWS($L$27:N43)-1),-(ROWS($L$27:N43)-1)+(COLUMNS($M$27:O43)-1),1,1)</f>
        <v>6389.2658929999998</v>
      </c>
      <c r="G44" s="7">
        <f ca="1">OFFSET($U$5,(ROWS($L$27:O43)-1),-(ROWS($L$27:O43)-1)+(COLUMNS($M$27:P43)-1),1,1)</f>
        <v>7468.1308950000002</v>
      </c>
      <c r="H44" s="7">
        <f ca="1">OFFSET($U$5,(ROWS($L$27:P43)-1),-(ROWS($L$27:P43)-1)+(COLUMNS($M$27:Q43)-1),1,1)</f>
        <v>7458.2260120000001</v>
      </c>
      <c r="I44" s="7">
        <f ca="1">OFFSET($U$5,(ROWS($L$27:Q43)-1),-(ROWS($L$27:Q43)-1)+(COLUMNS($M$27:R43)-1),1,1)</f>
        <v>7303.2936410000002</v>
      </c>
      <c r="J44" s="7">
        <f ca="1">OFFSET($U$5,(ROWS($L$27:R43)-1),-(ROWS($L$27:R43)-1)+(COLUMNS($M$27:S43)-1),1,1)</f>
        <v>7229.9835540000004</v>
      </c>
      <c r="K44" s="7">
        <f ca="1">OFFSET($U$5,(ROWS($L$27:S43)-1),-(ROWS($L$27:S43)-1)+(COLUMNS($M$27:T43)-1),1,1)</f>
        <v>7365.8269360000004</v>
      </c>
      <c r="L44" s="7">
        <f ca="1">OFFSET($U$5,(ROWS($L$27:T43)-1),-(ROWS($L$27:T43)-1)+(COLUMNS($M$27:U43)-1),1,1)</f>
        <v>7498.2640609999999</v>
      </c>
      <c r="M44" s="7">
        <f ca="1">OFFSET($U$5,(ROWS($L$27:U43)-1),-(ROWS($L$27:U43)-1)+(COLUMNS($M$27:V43)-1),1,1)</f>
        <v>8081.2454980000002</v>
      </c>
      <c r="N44" s="7">
        <f ca="1">OFFSET($U$5,(ROWS($L$27:V43)-1),-(ROWS($L$27:V43)-1)+(COLUMNS($M$27:V43)-1),1,1)</f>
        <v>8081.2454980000002</v>
      </c>
      <c r="O44" s="7">
        <f ca="1">OFFSET($U$5,(ROWS($L$27:V43)-1),-(ROWS($L$27:V43)-1)+(COLUMNS($M$27:W43)-1),1,1)</f>
        <v>8312.6849550000006</v>
      </c>
      <c r="P44" s="7">
        <f ca="1">OFFSET($U$5,(ROWS($L$27:W43)-1),-(ROWS($L$27:W43)-1)+(COLUMNS($M$27:X43)-1),1,1)</f>
        <v>8778.7027400000006</v>
      </c>
      <c r="Q44" s="7">
        <f ca="1">OFFSET($U$5,(ROWS($L$27:X43)-1),-(ROWS($L$27:X43)-1)+(COLUMNS($M$27:Y43)-1),1,1)</f>
        <v>8854.4657970000007</v>
      </c>
      <c r="R44" s="7">
        <f ca="1">OFFSET($U$5,(ROWS($L$27:Y43)-1),-(ROWS($L$27:Y43)-1)+(COLUMNS($M$27:Z43)-1),1,1)</f>
        <v>9395.5839890000007</v>
      </c>
      <c r="S44" s="7">
        <f ca="1">OFFSET($U$5,(ROWS($L$27:Z43)-1),-(ROWS($L$27:Z43)-1)+(COLUMNS($M$27:AA43)-1),1,1)</f>
        <v>9567.4313889999994</v>
      </c>
      <c r="T44" s="7">
        <f ca="1">OFFSET($U$5,(ROWS($L$27:AA43)-1),-(ROWS($L$27:AA43)-1)+(COLUMNS($M$27:AB43)-1),1,1)</f>
        <v>10067.058349999999</v>
      </c>
      <c r="U44" s="7">
        <f ca="1">OFFSET($U$5,(ROWS($L$27:AB43)-1),-(ROWS($L$27:AB43)-1)+(COLUMNS($M$27:AC43)-1),1,1)</f>
        <v>10907.65976</v>
      </c>
      <c r="V44" s="7">
        <f ca="1">OFFSET($U$5,(ROWS($L$27:AC43)-1),-(ROWS($L$27:AC43)-1)+(COLUMNS($M$27:AD43)-1),1,1)</f>
        <v>0</v>
      </c>
      <c r="W44" s="7">
        <f ca="1">OFFSET($U$5,(ROWS($L$27:AD43)-1),-(ROWS($L$27:AD43)-1)+(COLUMNS($M$27:AE43)-1),1,1)</f>
        <v>0</v>
      </c>
      <c r="X44" s="7">
        <f ca="1">OFFSET($U$5,(ROWS($L$27:AE43)-1),-(ROWS($L$27:AE43)-1)+(COLUMNS($M$27:AF43)-1),1,1)</f>
        <v>0</v>
      </c>
    </row>
    <row r="45" spans="2:24" x14ac:dyDescent="0.25">
      <c r="B45" s="5" t="str">
        <f t="shared" si="1"/>
        <v>201406</v>
      </c>
      <c r="C45" s="7">
        <f ca="1">'CC examples - CAS'!D48</f>
        <v>8147.7663220000004</v>
      </c>
      <c r="D45" s="7">
        <f ca="1">OFFSET($U$5,(ROWS($L$27:L44)-1)+(COLUMNS($M$27:M44)-1),-(ROWS($L$27:L44)-1),1,1)</f>
        <v>10026.346020000001</v>
      </c>
      <c r="E45" s="7">
        <f ca="1">OFFSET($U$5,(ROWS($L$27:M44)-1),-(ROWS($L$27:M44)-1)+(COLUMNS($M$27:N44)-1),1,1)</f>
        <v>10224.501819999999</v>
      </c>
      <c r="F45" s="7">
        <f ca="1">OFFSET($U$5,(ROWS($L$27:N44)-1),-(ROWS($L$27:N44)-1)+(COLUMNS($M$27:O44)-1),1,1)</f>
        <v>10712.863719999999</v>
      </c>
      <c r="G45" s="7">
        <f ca="1">OFFSET($U$5,(ROWS($L$27:O44)-1),-(ROWS($L$27:O44)-1)+(COLUMNS($M$27:P44)-1),1,1)</f>
        <v>11673.96291</v>
      </c>
      <c r="H45" s="7">
        <f ca="1">OFFSET($U$5,(ROWS($L$27:P44)-1),-(ROWS($L$27:P44)-1)+(COLUMNS($M$27:Q44)-1),1,1)</f>
        <v>11833.42921</v>
      </c>
      <c r="I45" s="7">
        <f ca="1">OFFSET($U$5,(ROWS($L$27:Q44)-1),-(ROWS($L$27:Q44)-1)+(COLUMNS($M$27:R44)-1),1,1)</f>
        <v>11639.13306</v>
      </c>
      <c r="J45" s="7">
        <f ca="1">OFFSET($U$5,(ROWS($L$27:R44)-1),-(ROWS($L$27:R44)-1)+(COLUMNS($M$27:S44)-1),1,1)</f>
        <v>12485.36119</v>
      </c>
      <c r="K45" s="7">
        <f ca="1">OFFSET($U$5,(ROWS($L$27:S44)-1),-(ROWS($L$27:S44)-1)+(COLUMNS($M$27:T44)-1),1,1)</f>
        <v>12278.86995</v>
      </c>
      <c r="L45" s="7">
        <f ca="1">OFFSET($U$5,(ROWS($L$27:T44)-1),-(ROWS($L$27:T44)-1)+(COLUMNS($M$27:U44)-1),1,1)</f>
        <v>12327.17369</v>
      </c>
      <c r="M45" s="7">
        <f ca="1">OFFSET($U$5,(ROWS($L$27:U44)-1),-(ROWS($L$27:U44)-1)+(COLUMNS($M$27:V44)-1),1,1)</f>
        <v>11754.22502</v>
      </c>
      <c r="N45" s="7">
        <f ca="1">OFFSET($U$5,(ROWS($L$27:V44)-1),-(ROWS($L$27:V44)-1)+(COLUMNS($M$27:V44)-1),1,1)</f>
        <v>11754.22502</v>
      </c>
      <c r="O45" s="7">
        <f ca="1">OFFSET($U$5,(ROWS($L$27:V44)-1),-(ROWS($L$27:V44)-1)+(COLUMNS($M$27:W44)-1),1,1)</f>
        <v>11808.58562</v>
      </c>
      <c r="P45" s="7">
        <f ca="1">OFFSET($U$5,(ROWS($L$27:W44)-1),-(ROWS($L$27:W44)-1)+(COLUMNS($M$27:X44)-1),1,1)</f>
        <v>11776.18549</v>
      </c>
      <c r="Q45" s="7">
        <f ca="1">OFFSET($U$5,(ROWS($L$27:X44)-1),-(ROWS($L$27:X44)-1)+(COLUMNS($M$27:Y44)-1),1,1)</f>
        <v>11853.77375</v>
      </c>
      <c r="R45" s="7">
        <f ca="1">OFFSET($U$5,(ROWS($L$27:Y44)-1),-(ROWS($L$27:Y44)-1)+(COLUMNS($M$27:Z44)-1),1,1)</f>
        <v>11686.86716</v>
      </c>
      <c r="S45" s="7">
        <f ca="1">OFFSET($U$5,(ROWS($L$27:Z44)-1),-(ROWS($L$27:Z44)-1)+(COLUMNS($M$27:AA44)-1),1,1)</f>
        <v>11708.781139999999</v>
      </c>
      <c r="T45" s="7">
        <f ca="1">OFFSET($U$5,(ROWS($L$27:AA44)-1),-(ROWS($L$27:AA44)-1)+(COLUMNS($M$27:AB44)-1),1,1)</f>
        <v>11364.818950000001</v>
      </c>
      <c r="U45" s="7">
        <f ca="1">OFFSET($U$5,(ROWS($L$27:AB44)-1),-(ROWS($L$27:AB44)-1)+(COLUMNS($M$27:AC44)-1),1,1)</f>
        <v>11469.494500000001</v>
      </c>
      <c r="V45" s="7">
        <f ca="1">OFFSET($U$5,(ROWS($L$27:AC44)-1),-(ROWS($L$27:AC44)-1)+(COLUMNS($M$27:AD44)-1),1,1)</f>
        <v>10940.32727</v>
      </c>
      <c r="W45" s="7">
        <f ca="1">OFFSET($U$5,(ROWS($L$27:AD44)-1),-(ROWS($L$27:AD44)-1)+(COLUMNS($M$27:AE44)-1),1,1)</f>
        <v>0</v>
      </c>
      <c r="X45" s="7">
        <f ca="1">OFFSET($U$5,(ROWS($L$27:AE44)-1),-(ROWS($L$27:AE44)-1)+(COLUMNS($M$27:AF44)-1),1,1)</f>
        <v>0</v>
      </c>
    </row>
    <row r="46" spans="2:24" x14ac:dyDescent="0.25">
      <c r="B46" s="5" t="str">
        <f t="shared" si="1"/>
        <v>201409</v>
      </c>
      <c r="C46" s="7">
        <f ca="1">'CC examples - CAS'!D49</f>
        <v>4806.7515240000002</v>
      </c>
      <c r="D46" s="7">
        <f ca="1">OFFSET($U$5,(ROWS($L$27:L45)-1)+(COLUMNS($M$27:M45)-1),-(ROWS($L$27:L45)-1),1,1)</f>
        <v>6178.1244710000001</v>
      </c>
      <c r="E46" s="7">
        <f ca="1">OFFSET($U$5,(ROWS($L$27:M45)-1),-(ROWS($L$27:M45)-1)+(COLUMNS($M$27:N45)-1),1,1)</f>
        <v>8651.0204240000003</v>
      </c>
      <c r="F46" s="7">
        <f ca="1">OFFSET($U$5,(ROWS($L$27:N45)-1),-(ROWS($L$27:N45)-1)+(COLUMNS($M$27:O45)-1),1,1)</f>
        <v>10214.28305</v>
      </c>
      <c r="G46" s="7">
        <f ca="1">OFFSET($U$5,(ROWS($L$27:O45)-1),-(ROWS($L$27:O45)-1)+(COLUMNS($M$27:P45)-1),1,1)</f>
        <v>11282.7084</v>
      </c>
      <c r="H46" s="7">
        <f ca="1">OFFSET($U$5,(ROWS($L$27:P45)-1),-(ROWS($L$27:P45)-1)+(COLUMNS($M$27:Q45)-1),1,1)</f>
        <v>11203.480949999999</v>
      </c>
      <c r="I46" s="7">
        <f ca="1">OFFSET($U$5,(ROWS($L$27:Q45)-1),-(ROWS($L$27:Q45)-1)+(COLUMNS($M$27:R45)-1),1,1)</f>
        <v>11551.5818</v>
      </c>
      <c r="J46" s="7">
        <f ca="1">OFFSET($U$5,(ROWS($L$27:R45)-1),-(ROWS($L$27:R45)-1)+(COLUMNS($M$27:S45)-1),1,1)</f>
        <v>12697.200140000001</v>
      </c>
      <c r="K46" s="7">
        <f ca="1">OFFSET($U$5,(ROWS($L$27:S45)-1),-(ROWS($L$27:S45)-1)+(COLUMNS($M$27:T45)-1),1,1)</f>
        <v>12468.062519999999</v>
      </c>
      <c r="L46" s="7">
        <f ca="1">OFFSET($U$5,(ROWS($L$27:T45)-1),-(ROWS($L$27:T45)-1)+(COLUMNS($M$27:U45)-1),1,1)</f>
        <v>12828.079449999999</v>
      </c>
      <c r="M46" s="7">
        <f ca="1">OFFSET($U$5,(ROWS($L$27:U45)-1),-(ROWS($L$27:U45)-1)+(COLUMNS($M$27:V45)-1),1,1)</f>
        <v>14162.85548</v>
      </c>
      <c r="N46" s="7">
        <f ca="1">OFFSET($U$5,(ROWS($L$27:V45)-1),-(ROWS($L$27:V45)-1)+(COLUMNS($M$27:V45)-1),1,1)</f>
        <v>14162.85548</v>
      </c>
      <c r="O46" s="7">
        <f ca="1">OFFSET($U$5,(ROWS($L$27:V45)-1),-(ROWS($L$27:V45)-1)+(COLUMNS($M$27:W45)-1),1,1)</f>
        <v>13961.607319999999</v>
      </c>
      <c r="P46" s="7">
        <f ca="1">OFFSET($U$5,(ROWS($L$27:W45)-1),-(ROWS($L$27:W45)-1)+(COLUMNS($M$27:X45)-1),1,1)</f>
        <v>14113.86584</v>
      </c>
      <c r="Q46" s="7">
        <f ca="1">OFFSET($U$5,(ROWS($L$27:X45)-1),-(ROWS($L$27:X45)-1)+(COLUMNS($M$27:Y45)-1),1,1)</f>
        <v>14931.727860000001</v>
      </c>
      <c r="R46" s="7">
        <f ca="1">OFFSET($U$5,(ROWS($L$27:Y45)-1),-(ROWS($L$27:Y45)-1)+(COLUMNS($M$27:Z45)-1),1,1)</f>
        <v>16580.937440000002</v>
      </c>
      <c r="S46" s="7">
        <f ca="1">OFFSET($U$5,(ROWS($L$27:Z45)-1),-(ROWS($L$27:Z45)-1)+(COLUMNS($M$27:AA45)-1),1,1)</f>
        <v>16279.29189</v>
      </c>
      <c r="T46" s="7">
        <f ca="1">OFFSET($U$5,(ROWS($L$27:AA45)-1),-(ROWS($L$27:AA45)-1)+(COLUMNS($M$27:AB45)-1),1,1)</f>
        <v>15667.746719999999</v>
      </c>
      <c r="U46" s="7">
        <f ca="1">OFFSET($U$5,(ROWS($L$27:AB45)-1),-(ROWS($L$27:AB45)-1)+(COLUMNS($M$27:AC45)-1),1,1)</f>
        <v>15625.058069999999</v>
      </c>
      <c r="V46" s="7">
        <f ca="1">OFFSET($U$5,(ROWS($L$27:AC45)-1),-(ROWS($L$27:AC45)-1)+(COLUMNS($M$27:AD45)-1),1,1)</f>
        <v>17347.31035</v>
      </c>
      <c r="W46" s="7">
        <f ca="1">OFFSET($U$5,(ROWS($L$27:AD45)-1),-(ROWS($L$27:AD45)-1)+(COLUMNS($M$27:AE45)-1),1,1)</f>
        <v>17165.337179999999</v>
      </c>
      <c r="X46" s="7">
        <f ca="1">OFFSET($U$5,(ROWS($L$27:AE45)-1),-(ROWS($L$27:AE45)-1)+(COLUMNS($M$27:AF45)-1),1,1)</f>
        <v>0</v>
      </c>
    </row>
    <row r="47" spans="2:24" x14ac:dyDescent="0.25">
      <c r="B47" s="5" t="str">
        <f t="shared" si="1"/>
        <v>201412</v>
      </c>
      <c r="C47" s="7">
        <f ca="1">'CC examples - CAS'!D50</f>
        <v>1877.010266</v>
      </c>
      <c r="D47" s="7">
        <f ca="1">OFFSET($U$5,(ROWS($L$27:L46)-1)+(COLUMNS($M$27:M46)-1),-(ROWS($L$27:L46)-1),1,1)</f>
        <v>4341.6172729999998</v>
      </c>
      <c r="E47" s="7">
        <f ca="1">OFFSET($U$5,(ROWS($L$27:M46)-1),-(ROWS($L$27:M46)-1)+(COLUMNS($M$27:N46)-1),1,1)</f>
        <v>4786.5464920000004</v>
      </c>
      <c r="F47" s="7">
        <f ca="1">OFFSET($U$5,(ROWS($L$27:N46)-1),-(ROWS($L$27:N46)-1)+(COLUMNS($M$27:O46)-1),1,1)</f>
        <v>6309.5153060000002</v>
      </c>
      <c r="G47" s="7">
        <f ca="1">OFFSET($U$5,(ROWS($L$27:O46)-1),-(ROWS($L$27:O46)-1)+(COLUMNS($M$27:P46)-1),1,1)</f>
        <v>7942.6352589999997</v>
      </c>
      <c r="H47" s="7">
        <f ca="1">OFFSET($U$5,(ROWS($L$27:P46)-1),-(ROWS($L$27:P46)-1)+(COLUMNS($M$27:Q46)-1),1,1)</f>
        <v>8481.9515059999994</v>
      </c>
      <c r="I47" s="7">
        <f ca="1">OFFSET($U$5,(ROWS($L$27:Q46)-1),-(ROWS($L$27:Q46)-1)+(COLUMNS($M$27:R46)-1),1,1)</f>
        <v>8669.7722740000008</v>
      </c>
      <c r="J47" s="7">
        <f ca="1">OFFSET($U$5,(ROWS($L$27:R46)-1),-(ROWS($L$27:R46)-1)+(COLUMNS($M$27:S46)-1),1,1)</f>
        <v>8747.3489019999997</v>
      </c>
      <c r="K47" s="7">
        <f ca="1">OFFSET($U$5,(ROWS($L$27:S46)-1),-(ROWS($L$27:S46)-1)+(COLUMNS($M$27:T46)-1),1,1)</f>
        <v>9149.7289739999997</v>
      </c>
      <c r="L47" s="7">
        <f ca="1">OFFSET($U$5,(ROWS($L$27:T46)-1),-(ROWS($L$27:T46)-1)+(COLUMNS($M$27:U46)-1),1,1)</f>
        <v>9373.8676479999995</v>
      </c>
      <c r="M47" s="7">
        <f ca="1">OFFSET($U$5,(ROWS($L$27:U46)-1),-(ROWS($L$27:U46)-1)+(COLUMNS($M$27:V46)-1),1,1)</f>
        <v>9823.1680359999991</v>
      </c>
      <c r="N47" s="7">
        <f ca="1">OFFSET($U$5,(ROWS($L$27:V46)-1),-(ROWS($L$27:V46)-1)+(COLUMNS($M$27:V46)-1),1,1)</f>
        <v>9823.1680359999991</v>
      </c>
      <c r="O47" s="7">
        <f ca="1">OFFSET($U$5,(ROWS($L$27:V46)-1),-(ROWS($L$27:V46)-1)+(COLUMNS($M$27:W46)-1),1,1)</f>
        <v>10711.747670000001</v>
      </c>
      <c r="P47" s="7">
        <f ca="1">OFFSET($U$5,(ROWS($L$27:W46)-1),-(ROWS($L$27:W46)-1)+(COLUMNS($M$27:X46)-1),1,1)</f>
        <v>11521.553260000001</v>
      </c>
      <c r="Q47" s="7">
        <f ca="1">OFFSET($U$5,(ROWS($L$27:X46)-1),-(ROWS($L$27:X46)-1)+(COLUMNS($M$27:Y46)-1),1,1)</f>
        <v>11241.589180000001</v>
      </c>
      <c r="R47" s="7">
        <f ca="1">OFFSET($U$5,(ROWS($L$27:Y46)-1),-(ROWS($L$27:Y46)-1)+(COLUMNS($M$27:Z46)-1),1,1)</f>
        <v>12279.20709</v>
      </c>
      <c r="S47" s="7">
        <f ca="1">OFFSET($U$5,(ROWS($L$27:Z46)-1),-(ROWS($L$27:Z46)-1)+(COLUMNS($M$27:AA46)-1),1,1)</f>
        <v>13806.30294</v>
      </c>
      <c r="T47" s="7">
        <f ca="1">OFFSET($U$5,(ROWS($L$27:AA46)-1),-(ROWS($L$27:AA46)-1)+(COLUMNS($M$27:AB46)-1),1,1)</f>
        <v>13720.937260000001</v>
      </c>
      <c r="U47" s="7">
        <f ca="1">OFFSET($U$5,(ROWS($L$27:AB46)-1),-(ROWS($L$27:AB46)-1)+(COLUMNS($M$27:AC46)-1),1,1)</f>
        <v>13857.64092</v>
      </c>
      <c r="V47" s="7">
        <f ca="1">OFFSET($U$5,(ROWS($L$27:AC46)-1),-(ROWS($L$27:AC46)-1)+(COLUMNS($M$27:AD46)-1),1,1)</f>
        <v>14243.54773</v>
      </c>
      <c r="W47" s="7">
        <f ca="1">OFFSET($U$5,(ROWS($L$27:AD46)-1),-(ROWS($L$27:AD46)-1)+(COLUMNS($M$27:AE46)-1),1,1)</f>
        <v>16558.00043</v>
      </c>
      <c r="X47" s="7">
        <f ca="1">OFFSET($U$5,(ROWS($L$27:AE46)-1),-(ROWS($L$27:AE46)-1)+(COLUMNS($M$27:AF46)-1),1,1)</f>
        <v>16405.614030000001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P86"/>
  <sheetViews>
    <sheetView topLeftCell="A25" zoomScale="85" zoomScaleNormal="85" workbookViewId="0">
      <selection activeCell="A32" sqref="A32"/>
    </sheetView>
  </sheetViews>
  <sheetFormatPr defaultRowHeight="15" x14ac:dyDescent="0.25"/>
  <cols>
    <col min="1" max="1" width="12.28515625" bestFit="1" customWidth="1"/>
    <col min="2" max="2" width="15.140625" bestFit="1" customWidth="1"/>
    <col min="3" max="3" width="17.5703125" bestFit="1" customWidth="1"/>
    <col min="4" max="4" width="8.85546875" bestFit="1" customWidth="1"/>
    <col min="5" max="5" width="10" bestFit="1" customWidth="1"/>
    <col min="6" max="6" width="12.85546875" customWidth="1"/>
    <col min="7" max="7" width="9.85546875" bestFit="1" customWidth="1"/>
    <col min="8" max="8" width="15.140625" bestFit="1" customWidth="1"/>
    <col min="9" max="9" width="15.85546875" bestFit="1" customWidth="1"/>
    <col min="10" max="10" width="14.28515625" bestFit="1" customWidth="1"/>
    <col min="11" max="11" width="13.5703125" bestFit="1" customWidth="1"/>
    <col min="12" max="12" width="8.85546875" bestFit="1" customWidth="1"/>
    <col min="13" max="13" width="15.7109375" bestFit="1" customWidth="1"/>
    <col min="14" max="14" width="13.5703125" bestFit="1" customWidth="1"/>
    <col min="15" max="16" width="8.85546875" bestFit="1" customWidth="1"/>
    <col min="17" max="18" width="7.85546875" bestFit="1" customWidth="1"/>
    <col min="19" max="19" width="12.42578125" bestFit="1" customWidth="1"/>
    <col min="20" max="21" width="10" bestFit="1" customWidth="1"/>
    <col min="22" max="22" width="12" bestFit="1" customWidth="1"/>
    <col min="42" max="42" width="13.140625" bestFit="1" customWidth="1"/>
  </cols>
  <sheetData>
    <row r="1" spans="1:21" x14ac:dyDescent="0.25">
      <c r="A1" s="2" t="s">
        <v>27</v>
      </c>
      <c r="B1" s="2" t="s">
        <v>2</v>
      </c>
    </row>
    <row r="2" spans="1:21" x14ac:dyDescent="0.25">
      <c r="A2" s="2" t="s">
        <v>6</v>
      </c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</row>
    <row r="3" spans="1:21" x14ac:dyDescent="0.25">
      <c r="A3" t="s">
        <v>7</v>
      </c>
      <c r="B3" s="3">
        <v>15885.64381</v>
      </c>
      <c r="C3" s="3">
        <v>25177.51136</v>
      </c>
      <c r="D3" s="3">
        <v>26571.78973</v>
      </c>
      <c r="E3" s="3">
        <v>25520.487659999999</v>
      </c>
      <c r="F3" s="3">
        <v>25047.471720000001</v>
      </c>
      <c r="G3" s="3">
        <v>25025.264620000002</v>
      </c>
      <c r="H3" s="3">
        <v>24961.98862</v>
      </c>
      <c r="I3" s="3">
        <v>24447.97496</v>
      </c>
      <c r="J3" s="3">
        <v>24411.81725</v>
      </c>
      <c r="K3" s="3">
        <v>24305.19471</v>
      </c>
      <c r="L3" s="3">
        <v>24305.076079999999</v>
      </c>
      <c r="M3" s="3">
        <v>24285.312709999998</v>
      </c>
      <c r="N3" s="3">
        <v>24201.015889999999</v>
      </c>
      <c r="O3" s="3">
        <v>24159.401310000001</v>
      </c>
      <c r="P3" s="3">
        <v>24170.837019999999</v>
      </c>
      <c r="Q3" s="3">
        <v>24108.415140000001</v>
      </c>
      <c r="R3" s="3">
        <v>24096.955709999998</v>
      </c>
      <c r="S3" s="3">
        <v>24096.955709999998</v>
      </c>
      <c r="T3" s="3">
        <v>24096.955709999998</v>
      </c>
      <c r="U3" s="3">
        <v>24096.955709999998</v>
      </c>
    </row>
    <row r="4" spans="1:21" x14ac:dyDescent="0.25">
      <c r="A4" t="s">
        <v>8</v>
      </c>
      <c r="B4" s="3">
        <v>18399.933389999998</v>
      </c>
      <c r="C4" s="3">
        <v>24209.50963</v>
      </c>
      <c r="D4" s="3">
        <v>22952.863079999999</v>
      </c>
      <c r="E4" s="3">
        <v>22781.446110000001</v>
      </c>
      <c r="F4" s="3">
        <v>22709.818729999999</v>
      </c>
      <c r="G4" s="3">
        <v>22939.481879999999</v>
      </c>
      <c r="H4" s="3">
        <v>22276.519329999999</v>
      </c>
      <c r="I4" s="3">
        <v>22394.64875</v>
      </c>
      <c r="J4" s="3">
        <v>22331.79982</v>
      </c>
      <c r="K4" s="3">
        <v>22614.845420000001</v>
      </c>
      <c r="L4" s="3">
        <v>22614.845420000001</v>
      </c>
      <c r="M4" s="3">
        <v>22614.750520000001</v>
      </c>
      <c r="N4" s="3">
        <v>22614.750520000001</v>
      </c>
      <c r="O4" s="3">
        <v>22614.750520000001</v>
      </c>
      <c r="P4" s="3">
        <v>22593.943220000001</v>
      </c>
      <c r="Q4" s="3">
        <v>22590.242040000001</v>
      </c>
      <c r="R4" s="3">
        <v>22592.40107</v>
      </c>
      <c r="S4" s="3">
        <v>22592.40107</v>
      </c>
      <c r="T4" s="3">
        <v>22592.40107</v>
      </c>
      <c r="U4" s="3"/>
    </row>
    <row r="5" spans="1:21" x14ac:dyDescent="0.25">
      <c r="A5" t="s">
        <v>9</v>
      </c>
      <c r="B5" s="3">
        <v>15765.26046</v>
      </c>
      <c r="C5" s="3">
        <v>18859.94774</v>
      </c>
      <c r="D5" s="3">
        <v>17972.304400000001</v>
      </c>
      <c r="E5" s="3">
        <v>18029.221949999999</v>
      </c>
      <c r="F5" s="3">
        <v>18099.710510000001</v>
      </c>
      <c r="G5" s="3">
        <v>17914.793710000002</v>
      </c>
      <c r="H5" s="3">
        <v>17918.92195</v>
      </c>
      <c r="I5" s="3">
        <v>17802.405859999999</v>
      </c>
      <c r="J5" s="3">
        <v>17854.412230000002</v>
      </c>
      <c r="K5" s="3">
        <v>17854.388500000001</v>
      </c>
      <c r="L5" s="3">
        <v>17867.888330000002</v>
      </c>
      <c r="M5" s="3">
        <v>17843.83064</v>
      </c>
      <c r="N5" s="3">
        <v>17828.907279999999</v>
      </c>
      <c r="O5" s="3">
        <v>17828.907279999999</v>
      </c>
      <c r="P5" s="3">
        <v>17762.309710000001</v>
      </c>
      <c r="Q5" s="3">
        <v>17762.309710000001</v>
      </c>
      <c r="R5" s="3">
        <v>17754.29048</v>
      </c>
      <c r="S5" s="3">
        <v>17754.29048</v>
      </c>
      <c r="T5" s="3"/>
      <c r="U5" s="3"/>
    </row>
    <row r="6" spans="1:21" x14ac:dyDescent="0.25">
      <c r="A6" t="s">
        <v>10</v>
      </c>
      <c r="B6" s="3">
        <v>18049.151399999999</v>
      </c>
      <c r="C6" s="3">
        <v>24586.081289999998</v>
      </c>
      <c r="D6" s="3">
        <v>24557.610649999999</v>
      </c>
      <c r="E6" s="3">
        <v>24341.732029999999</v>
      </c>
      <c r="F6" s="3">
        <v>23850.186450000001</v>
      </c>
      <c r="G6" s="3">
        <v>23923.403439999998</v>
      </c>
      <c r="H6" s="3">
        <v>23912.371070000001</v>
      </c>
      <c r="I6" s="3">
        <v>23959.22899</v>
      </c>
      <c r="J6" s="3">
        <v>23949.216820000001</v>
      </c>
      <c r="K6" s="3">
        <v>23823.18679</v>
      </c>
      <c r="L6" s="3">
        <v>23921.386770000001</v>
      </c>
      <c r="M6" s="3">
        <v>23836.022300000001</v>
      </c>
      <c r="N6" s="3">
        <v>23862.87961</v>
      </c>
      <c r="O6" s="3">
        <v>23862.855879999999</v>
      </c>
      <c r="P6" s="3">
        <v>23853.152139999998</v>
      </c>
      <c r="Q6" s="3">
        <v>23829.94857</v>
      </c>
      <c r="R6" s="3">
        <v>23829.94857</v>
      </c>
      <c r="S6" s="3"/>
      <c r="T6" s="3"/>
      <c r="U6" s="3"/>
    </row>
    <row r="7" spans="1:21" x14ac:dyDescent="0.25">
      <c r="A7" t="s">
        <v>11</v>
      </c>
      <c r="B7" s="3">
        <v>22716.20089</v>
      </c>
      <c r="C7" s="3">
        <v>28799.498599999999</v>
      </c>
      <c r="D7" s="3">
        <v>28139.21703</v>
      </c>
      <c r="E7" s="3">
        <v>26890.423630000001</v>
      </c>
      <c r="F7" s="3">
        <v>27203.173599999998</v>
      </c>
      <c r="G7" s="3">
        <v>27014.270909999999</v>
      </c>
      <c r="H7" s="3">
        <v>26813.00722</v>
      </c>
      <c r="I7" s="3">
        <v>26542.227719999999</v>
      </c>
      <c r="J7" s="3">
        <v>26363.693080000001</v>
      </c>
      <c r="K7" s="3">
        <v>26522.725330000001</v>
      </c>
      <c r="L7" s="3">
        <v>26259.32447</v>
      </c>
      <c r="M7" s="3">
        <v>26256.548579999999</v>
      </c>
      <c r="N7" s="3">
        <v>26050.516049999998</v>
      </c>
      <c r="O7" s="3">
        <v>26000.573810000002</v>
      </c>
      <c r="P7" s="3">
        <v>26000.573810000002</v>
      </c>
      <c r="Q7" s="3">
        <v>26000.573810000002</v>
      </c>
      <c r="R7" s="3"/>
      <c r="S7" s="3"/>
      <c r="T7" s="3"/>
      <c r="U7" s="3"/>
    </row>
    <row r="8" spans="1:21" x14ac:dyDescent="0.25">
      <c r="A8" t="s">
        <v>12</v>
      </c>
      <c r="B8" s="3">
        <v>17629.565350000001</v>
      </c>
      <c r="C8" s="3">
        <v>24164.4074</v>
      </c>
      <c r="D8" s="3">
        <v>23772.509050000001</v>
      </c>
      <c r="E8" s="3">
        <v>23060.505819999998</v>
      </c>
      <c r="F8" s="3">
        <v>22775.34865</v>
      </c>
      <c r="G8" s="3">
        <v>22658.66648</v>
      </c>
      <c r="H8" s="3">
        <v>22348.526320000001</v>
      </c>
      <c r="I8" s="3">
        <v>22241.50044</v>
      </c>
      <c r="J8" s="3">
        <v>22254.90537</v>
      </c>
      <c r="K8" s="3">
        <v>22228.854729999999</v>
      </c>
      <c r="L8" s="3">
        <v>22228.854729999999</v>
      </c>
      <c r="M8" s="3">
        <v>22197.63193</v>
      </c>
      <c r="N8" s="3">
        <v>22114.450209999999</v>
      </c>
      <c r="O8" s="3">
        <v>22062.420119999999</v>
      </c>
      <c r="P8" s="3">
        <v>22062.420119999999</v>
      </c>
      <c r="Q8" s="3"/>
      <c r="R8" s="3"/>
      <c r="S8" s="3"/>
      <c r="T8" s="3"/>
      <c r="U8" s="3"/>
    </row>
    <row r="9" spans="1:21" x14ac:dyDescent="0.25">
      <c r="A9" t="s">
        <v>13</v>
      </c>
      <c r="B9" s="3">
        <v>20852.109530000002</v>
      </c>
      <c r="C9" s="3">
        <v>28044.433529999998</v>
      </c>
      <c r="D9" s="3">
        <v>27322.346949999999</v>
      </c>
      <c r="E9" s="3">
        <v>27051.21156</v>
      </c>
      <c r="F9" s="3">
        <v>26749.754949999999</v>
      </c>
      <c r="G9" s="3">
        <v>26292.919819999999</v>
      </c>
      <c r="H9" s="3">
        <v>26136.592290000001</v>
      </c>
      <c r="I9" s="3">
        <v>26133.009730000002</v>
      </c>
      <c r="J9" s="3">
        <v>26309.788670000002</v>
      </c>
      <c r="K9" s="3">
        <v>26223.902249999999</v>
      </c>
      <c r="L9" s="3">
        <v>25942.89704</v>
      </c>
      <c r="M9" s="3">
        <v>25952.434700000002</v>
      </c>
      <c r="N9" s="3">
        <v>25941.995470000002</v>
      </c>
      <c r="O9" s="3">
        <v>25940.097430000002</v>
      </c>
      <c r="P9" s="3"/>
      <c r="Q9" s="3"/>
      <c r="R9" s="3"/>
      <c r="S9" s="3"/>
      <c r="T9" s="3"/>
      <c r="U9" s="3"/>
    </row>
    <row r="10" spans="1:21" x14ac:dyDescent="0.25">
      <c r="A10" t="s">
        <v>14</v>
      </c>
      <c r="B10" s="3">
        <v>21489.49596</v>
      </c>
      <c r="C10" s="3">
        <v>32918.535750000003</v>
      </c>
      <c r="D10" s="3">
        <v>32872.437039999997</v>
      </c>
      <c r="E10" s="3">
        <v>32830.063240000003</v>
      </c>
      <c r="F10" s="3">
        <v>32575.06122</v>
      </c>
      <c r="G10" s="3">
        <v>32552.94902</v>
      </c>
      <c r="H10" s="3">
        <v>32536.269970000001</v>
      </c>
      <c r="I10" s="3">
        <v>32443.526860000002</v>
      </c>
      <c r="J10" s="3">
        <v>32453.467860000001</v>
      </c>
      <c r="K10" s="3">
        <v>32324.495869999999</v>
      </c>
      <c r="L10" s="3">
        <v>32324.495869999999</v>
      </c>
      <c r="M10" s="3">
        <v>32495.50951</v>
      </c>
      <c r="N10" s="3">
        <v>32474.15653</v>
      </c>
      <c r="O10" s="3"/>
      <c r="P10" s="3"/>
      <c r="Q10" s="3"/>
      <c r="R10" s="3"/>
      <c r="S10" s="3"/>
      <c r="T10" s="3"/>
      <c r="U10" s="3"/>
    </row>
    <row r="11" spans="1:21" x14ac:dyDescent="0.25">
      <c r="A11" t="s">
        <v>15</v>
      </c>
      <c r="B11" s="3">
        <v>18254.16372</v>
      </c>
      <c r="C11" s="3">
        <v>29871.29953</v>
      </c>
      <c r="D11" s="3">
        <v>30149.220420000001</v>
      </c>
      <c r="E11" s="3">
        <v>29904.396649999999</v>
      </c>
      <c r="F11" s="3">
        <v>30122.22077</v>
      </c>
      <c r="G11" s="3">
        <v>30281.72752</v>
      </c>
      <c r="H11" s="3">
        <v>30003.616829999999</v>
      </c>
      <c r="I11" s="3">
        <v>30047.31926</v>
      </c>
      <c r="J11" s="3">
        <v>29792.98155</v>
      </c>
      <c r="K11" s="3">
        <v>29747.97422</v>
      </c>
      <c r="L11" s="3">
        <v>29722.303189999999</v>
      </c>
      <c r="M11" s="3">
        <v>29755.305410000001</v>
      </c>
      <c r="N11" s="3"/>
      <c r="O11" s="3"/>
      <c r="P11" s="3"/>
      <c r="Q11" s="3"/>
      <c r="R11" s="3"/>
      <c r="S11" s="3"/>
      <c r="T11" s="3"/>
      <c r="U11" s="3"/>
    </row>
    <row r="12" spans="1:21" x14ac:dyDescent="0.25">
      <c r="A12" t="s">
        <v>16</v>
      </c>
      <c r="B12" s="3">
        <v>21811.61752</v>
      </c>
      <c r="C12" s="3">
        <v>29825.699059999999</v>
      </c>
      <c r="D12" s="3">
        <v>28046.972160000001</v>
      </c>
      <c r="E12" s="3">
        <v>27959.59103</v>
      </c>
      <c r="F12" s="3">
        <v>28009.272290000001</v>
      </c>
      <c r="G12" s="3">
        <v>27812.516449999999</v>
      </c>
      <c r="H12" s="3">
        <v>27604.585879999999</v>
      </c>
      <c r="I12" s="3">
        <v>27430.535380000001</v>
      </c>
      <c r="J12" s="3">
        <v>27502.7559</v>
      </c>
      <c r="K12" s="3">
        <v>27206.969690000002</v>
      </c>
      <c r="L12" s="3">
        <v>27183.789840000001</v>
      </c>
      <c r="M12" s="3"/>
      <c r="N12" s="3"/>
      <c r="O12" s="3"/>
      <c r="P12" s="3"/>
      <c r="Q12" s="3"/>
      <c r="R12" s="3"/>
      <c r="S12" s="3"/>
      <c r="T12" s="3"/>
      <c r="U12" s="3"/>
    </row>
    <row r="13" spans="1:21" x14ac:dyDescent="0.25">
      <c r="A13" t="s">
        <v>17</v>
      </c>
      <c r="B13" s="3">
        <v>25062.323899999999</v>
      </c>
      <c r="C13" s="3">
        <v>35858.55629</v>
      </c>
      <c r="D13" s="3">
        <v>36143.499929999998</v>
      </c>
      <c r="E13" s="3">
        <v>35174.40683</v>
      </c>
      <c r="F13" s="3">
        <v>34845.025260000002</v>
      </c>
      <c r="G13" s="3">
        <v>34032.330869999998</v>
      </c>
      <c r="H13" s="3">
        <v>33252.093009999997</v>
      </c>
      <c r="I13" s="3">
        <v>33128.10338</v>
      </c>
      <c r="J13" s="3">
        <v>32078.794249999999</v>
      </c>
      <c r="K13" s="3">
        <v>32282.074619999999</v>
      </c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1" x14ac:dyDescent="0.25">
      <c r="A14" t="s">
        <v>18</v>
      </c>
      <c r="B14" s="3">
        <v>27478.65076</v>
      </c>
      <c r="C14" s="3">
        <v>41905.364130000002</v>
      </c>
      <c r="D14" s="3">
        <v>42866.651530000003</v>
      </c>
      <c r="E14" s="3">
        <v>42488.205560000002</v>
      </c>
      <c r="F14" s="3">
        <v>42368.367890000001</v>
      </c>
      <c r="G14" s="3">
        <v>41576.124909999999</v>
      </c>
      <c r="H14" s="3">
        <v>41451.423510000001</v>
      </c>
      <c r="I14" s="3">
        <v>40987.375820000001</v>
      </c>
      <c r="J14" s="3">
        <v>41403.853819999997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t="s">
        <v>19</v>
      </c>
      <c r="B15" s="3">
        <v>26771.084200000001</v>
      </c>
      <c r="C15" s="3">
        <v>40483.564140000002</v>
      </c>
      <c r="D15" s="3">
        <v>39967.652439999998</v>
      </c>
      <c r="E15" s="3">
        <v>40057.572200000002</v>
      </c>
      <c r="F15" s="3">
        <v>40010.856630000002</v>
      </c>
      <c r="G15" s="3">
        <v>38822.587059999998</v>
      </c>
      <c r="H15" s="3">
        <v>38480.749589999999</v>
      </c>
      <c r="I15" s="3">
        <v>38506.088459999999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x14ac:dyDescent="0.25">
      <c r="A16" t="s">
        <v>20</v>
      </c>
      <c r="B16" s="3">
        <v>20361.60787</v>
      </c>
      <c r="C16" s="3">
        <v>26804.964260000001</v>
      </c>
      <c r="D16" s="3">
        <v>26388.296460000001</v>
      </c>
      <c r="E16" s="3">
        <v>26454.277170000001</v>
      </c>
      <c r="F16" s="3">
        <v>26380.039980000001</v>
      </c>
      <c r="G16" s="3">
        <v>26321.22438</v>
      </c>
      <c r="H16" s="3">
        <v>26310.429260000001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t="s">
        <v>21</v>
      </c>
      <c r="B17" s="3">
        <v>19766.45289</v>
      </c>
      <c r="C17" s="3">
        <v>29064.963589999999</v>
      </c>
      <c r="D17" s="3">
        <v>28266.90785</v>
      </c>
      <c r="E17" s="3">
        <v>27855.696919999998</v>
      </c>
      <c r="F17" s="3">
        <v>27475.281729999999</v>
      </c>
      <c r="G17" s="3">
        <v>27402.4918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1:21" x14ac:dyDescent="0.25">
      <c r="A18" t="s">
        <v>22</v>
      </c>
      <c r="B18" s="3">
        <v>27034.746040000002</v>
      </c>
      <c r="C18" s="3">
        <v>43552.722750000001</v>
      </c>
      <c r="D18" s="3">
        <v>45623.392319999999</v>
      </c>
      <c r="E18" s="3">
        <v>45858.20392</v>
      </c>
      <c r="F18" s="3">
        <v>45471.026949999999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1:21" x14ac:dyDescent="0.25">
      <c r="A19" t="s">
        <v>23</v>
      </c>
      <c r="B19" s="3">
        <v>19600.136910000001</v>
      </c>
      <c r="C19" s="3">
        <v>35431.710229999997</v>
      </c>
      <c r="D19" s="3">
        <v>37810.954080000003</v>
      </c>
      <c r="E19" s="3">
        <v>38378.895879999996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1:21" x14ac:dyDescent="0.25">
      <c r="A20" t="s">
        <v>24</v>
      </c>
      <c r="B20" s="3">
        <v>22220.455890000001</v>
      </c>
      <c r="C20" s="3">
        <v>35361.364029999997</v>
      </c>
      <c r="D20" s="3">
        <v>38685.951719999997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 x14ac:dyDescent="0.25">
      <c r="A21" t="s">
        <v>25</v>
      </c>
      <c r="B21" s="3">
        <v>22583.361639999999</v>
      </c>
      <c r="C21" s="3">
        <v>34819.306790000002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t="s">
        <v>26</v>
      </c>
      <c r="B22" s="3">
        <v>25472.84679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4" spans="1:21" x14ac:dyDescent="0.25">
      <c r="B24" s="6">
        <v>1</v>
      </c>
      <c r="C24" s="6">
        <f>B24+1</f>
        <v>2</v>
      </c>
      <c r="D24" s="6">
        <f t="shared" ref="D24:Q24" si="0">C24+1</f>
        <v>3</v>
      </c>
      <c r="E24" s="6">
        <f t="shared" si="0"/>
        <v>4</v>
      </c>
      <c r="F24" s="6">
        <f t="shared" si="0"/>
        <v>5</v>
      </c>
      <c r="G24" s="6">
        <f t="shared" si="0"/>
        <v>6</v>
      </c>
      <c r="H24" s="6">
        <f t="shared" si="0"/>
        <v>7</v>
      </c>
      <c r="I24" s="6">
        <f t="shared" si="0"/>
        <v>8</v>
      </c>
      <c r="J24" s="6">
        <f t="shared" si="0"/>
        <v>9</v>
      </c>
      <c r="K24" s="6">
        <f t="shared" si="0"/>
        <v>10</v>
      </c>
      <c r="L24" s="6">
        <f t="shared" si="0"/>
        <v>11</v>
      </c>
      <c r="M24" s="6">
        <f t="shared" si="0"/>
        <v>12</v>
      </c>
      <c r="N24" s="6">
        <f t="shared" si="0"/>
        <v>13</v>
      </c>
      <c r="O24" s="6">
        <f t="shared" si="0"/>
        <v>14</v>
      </c>
      <c r="P24" s="6">
        <f t="shared" si="0"/>
        <v>15</v>
      </c>
      <c r="Q24" s="6">
        <f t="shared" si="0"/>
        <v>16</v>
      </c>
      <c r="R24" s="6">
        <f>Q24+1</f>
        <v>17</v>
      </c>
      <c r="S24" s="6">
        <f t="shared" ref="S24:T24" si="1">R24+1</f>
        <v>18</v>
      </c>
      <c r="T24" s="6">
        <f t="shared" si="1"/>
        <v>19</v>
      </c>
      <c r="U24" s="6">
        <v>20</v>
      </c>
    </row>
    <row r="25" spans="1:21" x14ac:dyDescent="0.25">
      <c r="A25" s="5" t="s">
        <v>28</v>
      </c>
      <c r="B25" s="7">
        <f t="array" ref="B25">SUM(IF(C3:C22&gt;0,C3:C22))</f>
        <v>589739.44010000001</v>
      </c>
      <c r="C25" s="7">
        <f t="array" ref="C25">SUM(IF(D3:D22&gt;0,D3:D22))</f>
        <v>558110.57683999999</v>
      </c>
      <c r="D25" s="7">
        <f t="array" ref="D25">SUM(IF(E3:E22&gt;0,E3:E22))</f>
        <v>514636.33816000004</v>
      </c>
      <c r="E25" s="7">
        <f t="array" ref="E25">SUM(IF(F3:F22&gt;0,F3:F22))</f>
        <v>473692.61733000004</v>
      </c>
      <c r="F25" s="7">
        <f t="array" ref="F25">SUM(IF(G3:G22&gt;0,G3:G22))</f>
        <v>424570.75287000003</v>
      </c>
      <c r="G25" s="7">
        <f t="array" ref="G25">SUM(IF(H3:H22&gt;0,H3:H22))</f>
        <v>394007.09484999999</v>
      </c>
      <c r="H25" s="7">
        <f t="array" ref="H25">SUM(IF(I3:I22&gt;0,I3:I22))</f>
        <v>366063.94561</v>
      </c>
      <c r="I25" s="7">
        <f t="array" ref="I25">SUM(IF(J3:J22&gt;0,J3:J22))</f>
        <v>326707.48661999998</v>
      </c>
      <c r="J25" s="7">
        <f t="array" ref="J25">SUM(IF(K3:K22&gt;0,K3:K22))</f>
        <v>285134.61212999996</v>
      </c>
      <c r="K25" s="7">
        <f t="array" ref="K25">SUM(IF(L3:L22&gt;0,L3:L22))</f>
        <v>252370.86173999999</v>
      </c>
      <c r="L25" s="7">
        <f t="array" ref="L25">SUM(IF(M3:M22&gt;0,M3:M22))</f>
        <v>225237.3463</v>
      </c>
      <c r="M25" s="7">
        <f t="array" ref="M25">SUM(IF(N3:N22&gt;0,N3:N22))</f>
        <v>195088.67156000002</v>
      </c>
      <c r="N25" s="7">
        <f t="array" ref="N25">SUM(IF(O3:O22&gt;0,O3:O22))</f>
        <v>162469.00635000001</v>
      </c>
      <c r="O25" s="7">
        <f t="array" ref="O25">SUM(IF(P3:P22&gt;0,P3:P22))</f>
        <v>136443.23602000001</v>
      </c>
      <c r="P25" s="7">
        <f t="array" ref="P25">SUM(IF(Q3:Q22&gt;0,Q3:Q22))</f>
        <v>114291.48927000001</v>
      </c>
      <c r="Q25" s="7">
        <f t="array" ref="Q25">SUM(IF(R3:R22&gt;0,R3:R22))</f>
        <v>88273.595830000006</v>
      </c>
      <c r="R25" s="7">
        <f t="array" ref="R25">SUM(IF(S3:S22&gt;0,S3:S22))</f>
        <v>64443.647259999998</v>
      </c>
      <c r="S25" s="7">
        <f t="array" ref="S25">SUM(IF(T3:T22&gt;0,T3:T22))</f>
        <v>46689.356780000002</v>
      </c>
      <c r="T25" s="7">
        <f t="array" ref="T25">SUM(IF(U3:U22&gt;0,U3:U22))</f>
        <v>24096.955709999998</v>
      </c>
    </row>
    <row r="26" spans="1:21" x14ac:dyDescent="0.25">
      <c r="A26" s="5" t="s">
        <v>29</v>
      </c>
      <c r="B26" s="7">
        <f t="array" ref="B26">SUM(IF(C3:C22&gt;0,B3:B22))</f>
        <v>401731.96213</v>
      </c>
      <c r="C26" s="7">
        <f t="array" ref="C26">SUM(IF(D3:D22&gt;0,C3:C22))</f>
        <v>554920.13330999995</v>
      </c>
      <c r="D26" s="7">
        <f t="array" ref="D26">SUM(IF(E3:E22&gt;0,D3:D22))</f>
        <v>519424.62511999998</v>
      </c>
      <c r="E26" s="7">
        <f t="array" ref="E26">SUM(IF(F3:F22&gt;0,E3:E22))</f>
        <v>476257.44228000002</v>
      </c>
      <c r="F26" s="7">
        <f t="array" ref="F26">SUM(IF(G3:G22&gt;0,F3:F22))</f>
        <v>428221.59038000001</v>
      </c>
      <c r="G26" s="7">
        <f t="array" ref="G26">SUM(IF(H3:H22&gt;0,G3:G22))</f>
        <v>397168.26107000001</v>
      </c>
      <c r="H26" s="7">
        <f t="array" ref="H26">SUM(IF(I3:I22&gt;0,H3:H22))</f>
        <v>367696.66558999999</v>
      </c>
      <c r="I26" s="7">
        <f t="array" ref="I26">SUM(IF(J3:J22&gt;0,I3:I22))</f>
        <v>327557.85715</v>
      </c>
      <c r="J26" s="7">
        <f t="array" ref="J26">SUM(IF(K3:K22&gt;0,J3:J22))</f>
        <v>285303.63279999996</v>
      </c>
      <c r="K26" s="7">
        <f t="array" ref="K26">SUM(IF(L3:L22&gt;0,K3:K22))</f>
        <v>252852.53750999997</v>
      </c>
      <c r="L26" s="7">
        <f t="array" ref="L26">SUM(IF(M3:M22&gt;0,L3:L22))</f>
        <v>225187.07189999998</v>
      </c>
      <c r="M26" s="7">
        <f t="array" ref="M26">SUM(IF(N3:N22&gt;0,M3:M22))</f>
        <v>195482.04089</v>
      </c>
      <c r="N26" s="7">
        <f t="array" ref="N26">SUM(IF(O3:O22&gt;0,N3:N22))</f>
        <v>162614.51503000001</v>
      </c>
      <c r="O26" s="7">
        <f t="array" ref="O26">SUM(IF(P3:P22&gt;0,O3:O22))</f>
        <v>136528.90892000002</v>
      </c>
      <c r="P26" s="7">
        <f t="array" ref="P26">SUM(IF(Q3:Q22&gt;0,P3:P22))</f>
        <v>114380.8159</v>
      </c>
      <c r="Q26" s="7">
        <f t="array" ref="Q26">SUM(IF(R3:R22&gt;0,Q3:Q22))</f>
        <v>88290.915460000004</v>
      </c>
      <c r="R26" s="7">
        <f t="array" ref="R26">SUM(IF(S3:S22&gt;0,R3:R22))</f>
        <v>64443.647259999998</v>
      </c>
      <c r="S26" s="7">
        <f t="array" ref="S26">SUM(IF(T3:T22&gt;0,S3:S22))</f>
        <v>46689.356780000002</v>
      </c>
      <c r="T26" s="7">
        <f t="array" ref="T26">SUM(IF(U3:U22&gt;0,T3:T22))</f>
        <v>24096.955709999998</v>
      </c>
    </row>
    <row r="27" spans="1:21" x14ac:dyDescent="0.25">
      <c r="A27" s="5" t="s">
        <v>30</v>
      </c>
      <c r="B27" s="8">
        <f>B25/B26</f>
        <v>1.4679923324327404</v>
      </c>
      <c r="C27" s="8">
        <f t="shared" ref="C27:R27" si="2">C25/C26</f>
        <v>1.0057493742585435</v>
      </c>
      <c r="D27" s="8">
        <f t="shared" si="2"/>
        <v>0.9907815557283336</v>
      </c>
      <c r="E27" s="8">
        <f t="shared" si="2"/>
        <v>0.99461462494376718</v>
      </c>
      <c r="F27" s="8">
        <f t="shared" si="2"/>
        <v>0.99147441980503537</v>
      </c>
      <c r="G27" s="8">
        <f t="shared" si="2"/>
        <v>0.99204073807034931</v>
      </c>
      <c r="H27" s="8">
        <f t="shared" si="2"/>
        <v>0.99555960079926165</v>
      </c>
      <c r="I27" s="8">
        <f t="shared" si="2"/>
        <v>0.99740390739700502</v>
      </c>
      <c r="J27" s="8">
        <f t="shared" si="2"/>
        <v>0.99940757617300136</v>
      </c>
      <c r="K27" s="8">
        <f t="shared" si="2"/>
        <v>0.99809503288065315</v>
      </c>
      <c r="L27" s="8">
        <f t="shared" si="2"/>
        <v>1.0002232561557634</v>
      </c>
      <c r="M27" s="8">
        <f t="shared" si="2"/>
        <v>0.9979876958097581</v>
      </c>
      <c r="N27" s="8">
        <f t="shared" si="2"/>
        <v>0.99910519254709118</v>
      </c>
      <c r="O27" s="8">
        <f t="shared" si="2"/>
        <v>0.99937249260484307</v>
      </c>
      <c r="P27" s="8">
        <f t="shared" si="2"/>
        <v>0.99921904185332888</v>
      </c>
      <c r="Q27" s="8">
        <f t="shared" si="2"/>
        <v>0.9998038345178577</v>
      </c>
      <c r="R27" s="8">
        <f t="shared" si="2"/>
        <v>1</v>
      </c>
      <c r="S27" s="8">
        <f>S25/S26</f>
        <v>1</v>
      </c>
      <c r="T27" s="8">
        <f t="shared" ref="T27" si="3">T25/T26</f>
        <v>1</v>
      </c>
    </row>
    <row r="28" spans="1:21" x14ac:dyDescent="0.25">
      <c r="A28" s="5" t="s">
        <v>31</v>
      </c>
      <c r="B28" s="9">
        <f>1/PRODUCT(B27:$T$27)</f>
        <v>0.70852236400063762</v>
      </c>
      <c r="C28" s="9">
        <f>1/PRODUCT(C27:$T$27)</f>
        <v>1.0401053977100547</v>
      </c>
      <c r="D28" s="9">
        <f>1/PRODUCT(D27:$T$27)</f>
        <v>1.0460853529098213</v>
      </c>
      <c r="E28" s="9">
        <f>1/PRODUCT(E27:$T$27)</f>
        <v>1.0364420733806157</v>
      </c>
      <c r="F28" s="9">
        <f>1/PRODUCT(F27:$T$27)</f>
        <v>1.0308604440914018</v>
      </c>
      <c r="G28" s="9">
        <f>1/PRODUCT(G27:$T$27)</f>
        <v>1.0220717607054832</v>
      </c>
      <c r="H28" s="9">
        <f>1/PRODUCT(H27:$T$27)</f>
        <v>1.0139368238511293</v>
      </c>
      <c r="I28" s="9">
        <f>1/PRODUCT(I27:$T$27)</f>
        <v>1.0094345395889015</v>
      </c>
      <c r="J28" s="9">
        <f>1/PRODUCT(J27:$T$27)</f>
        <v>1.006813954047467</v>
      </c>
      <c r="K28" s="9">
        <f>1/PRODUCT(K27:$T$27)</f>
        <v>1.0062174934717345</v>
      </c>
      <c r="L28" s="9">
        <f>1/PRODUCT(L27:$T$27)</f>
        <v>1.0043006822317593</v>
      </c>
      <c r="M28" s="9">
        <f>1/PRODUCT(M27:$T$27)</f>
        <v>1.0045248985413049</v>
      </c>
      <c r="N28" s="9">
        <f>1/PRODUCT(N27:$T$27)</f>
        <v>1.0025034888787678</v>
      </c>
      <c r="O28" s="9">
        <f>1/PRODUCT(O27:$T$27)</f>
        <v>1.001606441285352</v>
      </c>
      <c r="P28" s="9">
        <f>1/PRODUCT(P27:$T$27)</f>
        <v>1.0009779258364087</v>
      </c>
      <c r="Q28" s="9">
        <f>1/PRODUCT(Q27:$T$27)</f>
        <v>1.0001962039705887</v>
      </c>
      <c r="R28" s="9">
        <f>1/PRODUCT(R27:$T$27)</f>
        <v>1</v>
      </c>
      <c r="S28" s="9">
        <f>1/PRODUCT(S27:$T$27)</f>
        <v>1</v>
      </c>
      <c r="T28" s="9">
        <f>1/PRODUCT(T27:$T$27)</f>
        <v>1</v>
      </c>
      <c r="U28" s="10">
        <v>1</v>
      </c>
    </row>
    <row r="30" spans="1:21" ht="15.75" thickBot="1" x14ac:dyDescent="0.3">
      <c r="A30" s="15" t="s">
        <v>6</v>
      </c>
      <c r="B30" s="16" t="s">
        <v>5</v>
      </c>
      <c r="C30" s="16" t="s">
        <v>33</v>
      </c>
      <c r="D30" s="16" t="s">
        <v>32</v>
      </c>
      <c r="E30" s="16" t="s">
        <v>31</v>
      </c>
      <c r="F30" s="16" t="s">
        <v>34</v>
      </c>
      <c r="G30" s="16" t="s">
        <v>35</v>
      </c>
      <c r="H30" s="16" t="s">
        <v>36</v>
      </c>
      <c r="I30" s="16" t="s">
        <v>37</v>
      </c>
      <c r="J30" s="16" t="s">
        <v>39</v>
      </c>
      <c r="K30" s="16" t="s">
        <v>40</v>
      </c>
      <c r="L30" s="18" t="s">
        <v>41</v>
      </c>
    </row>
    <row r="31" spans="1:21" ht="15.75" thickBot="1" x14ac:dyDescent="0.3">
      <c r="A31" s="11">
        <v>1</v>
      </c>
      <c r="B31" s="12" t="s">
        <v>7</v>
      </c>
      <c r="C31" s="13">
        <v>51346.666409999998</v>
      </c>
      <c r="D31" s="13">
        <f ca="1">OFFSET($U$3,(ROWS($U$4:U4)-1),-(ROWS($U$4:U4)-1),1,1)</f>
        <v>24096.955709999998</v>
      </c>
      <c r="E31" s="14">
        <f ca="1">OFFSET($U$28,0,-(ROWS($I$30:I30)-1),1,1)</f>
        <v>1</v>
      </c>
      <c r="F31" s="17">
        <f t="shared" ref="F31:F50" ca="1" si="4">D31/E31-D31</f>
        <v>0</v>
      </c>
      <c r="G31" s="17">
        <f t="shared" ref="G31:G50" ca="1" si="5">F31+D31</f>
        <v>24096.955709999998</v>
      </c>
      <c r="H31" s="14">
        <f t="shared" ref="H31:H51" ca="1" si="6">G31/C31</f>
        <v>0.46929932154869175</v>
      </c>
      <c r="I31" s="39">
        <f t="array" aca="1" ref="I31" ca="1">SUM($D$31:$D$50*$O$31^ABS(A31-$A$31:$A$50))/SUM($C$31:$C$50*$E$31:$E$50*$O$31^ABS(A31-$A$31:$A$50))</f>
        <v>0.49771545794772093</v>
      </c>
      <c r="J31" s="19">
        <f t="shared" ref="J31:J50" ca="1" si="7">(1-E31)*I31*C31</f>
        <v>0</v>
      </c>
      <c r="K31" s="13">
        <f t="shared" ref="K31:K50" ca="1" si="8">J31+D31</f>
        <v>24096.955709999998</v>
      </c>
      <c r="L31" s="14">
        <f t="shared" ref="L31:L51" ca="1" si="9">K31/C31</f>
        <v>0.46929932154869175</v>
      </c>
      <c r="N31" s="25" t="s">
        <v>38</v>
      </c>
      <c r="O31" s="26">
        <v>1.0000000000000002</v>
      </c>
    </row>
    <row r="32" spans="1:21" x14ac:dyDescent="0.25">
      <c r="A32" s="11">
        <f>A31+1</f>
        <v>2</v>
      </c>
      <c r="B32" s="12" t="s">
        <v>8</v>
      </c>
      <c r="C32" s="13">
        <v>53877.276409999999</v>
      </c>
      <c r="D32" s="13">
        <f ca="1">OFFSET($U$3,(ROWS($U$4:U5)-1),-(ROWS($U$4:U5)-1),1,1)</f>
        <v>22592.40107</v>
      </c>
      <c r="E32" s="14">
        <f ca="1">OFFSET($U$28,0,-(ROWS($I$30:I31)-1),1,1)</f>
        <v>1</v>
      </c>
      <c r="F32" s="17">
        <f t="shared" ca="1" si="4"/>
        <v>0</v>
      </c>
      <c r="G32" s="17">
        <f t="shared" ca="1" si="5"/>
        <v>22592.40107</v>
      </c>
      <c r="H32" s="14">
        <f t="shared" ca="1" si="6"/>
        <v>0.41933079352553709</v>
      </c>
      <c r="I32" s="39">
        <f t="array" aca="1" ref="I32" ca="1">SUM($D$31:$D$50*$O$31^ABS(A32-$A$31:$A$50))/SUM($C$31:$C$50*$E$31:$E$50*$O$31^ABS(A32-$A$31:$A$50))</f>
        <v>0.49771545794772093</v>
      </c>
      <c r="J32" s="19">
        <f t="shared" ca="1" si="7"/>
        <v>0</v>
      </c>
      <c r="K32" s="13">
        <f t="shared" ca="1" si="8"/>
        <v>22592.40107</v>
      </c>
      <c r="L32" s="14">
        <f t="shared" ca="1" si="9"/>
        <v>0.41933079352553709</v>
      </c>
    </row>
    <row r="33" spans="1:42" x14ac:dyDescent="0.25">
      <c r="A33" s="11">
        <f t="shared" ref="A33:A50" si="10">A32+1</f>
        <v>3</v>
      </c>
      <c r="B33" s="12" t="s">
        <v>9</v>
      </c>
      <c r="C33" s="13">
        <v>54577.096409999998</v>
      </c>
      <c r="D33" s="13">
        <f ca="1">OFFSET($U$3,(ROWS($U$4:U6)-1),-(ROWS($U$4:U6)-1),1,1)</f>
        <v>17754.29048</v>
      </c>
      <c r="E33" s="14">
        <f ca="1">OFFSET($U$28,0,-(ROWS($I$30:I32)-1),1,1)</f>
        <v>1</v>
      </c>
      <c r="F33" s="17">
        <f t="shared" ca="1" si="4"/>
        <v>0</v>
      </c>
      <c r="G33" s="17">
        <f t="shared" ca="1" si="5"/>
        <v>17754.29048</v>
      </c>
      <c r="H33" s="14">
        <f t="shared" ca="1" si="6"/>
        <v>0.3253066148228973</v>
      </c>
      <c r="I33" s="39">
        <f t="array" aca="1" ref="I33" ca="1">SUM($D$31:$D$50*$O$31^ABS(A33-$A$31:$A$50))/SUM($C$31:$C$50*$E$31:$E$50*$O$31^ABS(A33-$A$31:$A$50))</f>
        <v>0.49771545794772093</v>
      </c>
      <c r="J33" s="19">
        <f t="shared" ca="1" si="7"/>
        <v>0</v>
      </c>
      <c r="K33" s="13">
        <f t="shared" ca="1" si="8"/>
        <v>17754.29048</v>
      </c>
      <c r="L33" s="14">
        <f t="shared" ca="1" si="9"/>
        <v>0.3253066148228973</v>
      </c>
    </row>
    <row r="34" spans="1:42" x14ac:dyDescent="0.25">
      <c r="A34" s="11">
        <f t="shared" si="10"/>
        <v>4</v>
      </c>
      <c r="B34" s="12" t="s">
        <v>10</v>
      </c>
      <c r="C34" s="13">
        <v>55527.486409999998</v>
      </c>
      <c r="D34" s="13">
        <f ca="1">OFFSET($U$3,(ROWS($U$4:U7)-1),-(ROWS($U$4:U7)-1),1,1)</f>
        <v>23829.94857</v>
      </c>
      <c r="E34" s="14">
        <f ca="1">OFFSET($U$28,0,-(ROWS($I$30:I33)-1),1,1)</f>
        <v>1</v>
      </c>
      <c r="F34" s="17">
        <f t="shared" ca="1" si="4"/>
        <v>0</v>
      </c>
      <c r="G34" s="17">
        <f t="shared" ca="1" si="5"/>
        <v>23829.94857</v>
      </c>
      <c r="H34" s="14">
        <f t="shared" ca="1" si="6"/>
        <v>0.42915590297111744</v>
      </c>
      <c r="I34" s="39">
        <f t="array" aca="1" ref="I34" ca="1">SUM($D$31:$D$50*$O$31^ABS(A34-$A$31:$A$50))/SUM($C$31:$C$50*$E$31:$E$50*$O$31^ABS(A34-$A$31:$A$50))</f>
        <v>0.49771545794772082</v>
      </c>
      <c r="J34" s="19">
        <f t="shared" ca="1" si="7"/>
        <v>0</v>
      </c>
      <c r="K34" s="13">
        <f t="shared" ca="1" si="8"/>
        <v>23829.94857</v>
      </c>
      <c r="L34" s="14">
        <f t="shared" ca="1" si="9"/>
        <v>0.42915590297111744</v>
      </c>
    </row>
    <row r="35" spans="1:42" x14ac:dyDescent="0.25">
      <c r="A35" s="11">
        <f t="shared" si="10"/>
        <v>5</v>
      </c>
      <c r="B35" s="12" t="s">
        <v>11</v>
      </c>
      <c r="C35" s="13">
        <v>56767.616410000002</v>
      </c>
      <c r="D35" s="13">
        <f ca="1">OFFSET($U$3,(ROWS($U$4:U8)-1),-(ROWS($U$4:U8)-1),1,1)</f>
        <v>26000.573810000002</v>
      </c>
      <c r="E35" s="14">
        <f ca="1">OFFSET($U$28,0,-(ROWS($I$30:I34)-1),1,1)</f>
        <v>1.0001962039705887</v>
      </c>
      <c r="F35" s="17">
        <f t="shared" ca="1" si="4"/>
        <v>-5.1004150974149525</v>
      </c>
      <c r="G35" s="17">
        <f t="shared" ca="1" si="5"/>
        <v>25995.473394902587</v>
      </c>
      <c r="H35" s="14">
        <f t="shared" ca="1" si="6"/>
        <v>0.45792786519610335</v>
      </c>
      <c r="I35" s="39">
        <f t="array" aca="1" ref="I35" ca="1">SUM($D$31:$D$50*$O$31^ABS(A35-$A$31:$A$50))/SUM($C$31:$C$50*$E$31:$E$50*$O$31^ABS(A35-$A$31:$A$50))</f>
        <v>0.49771545794772093</v>
      </c>
      <c r="J35" s="19">
        <f t="shared" ca="1" si="7"/>
        <v>-5.5435705683590806</v>
      </c>
      <c r="K35" s="13">
        <f t="shared" ca="1" si="8"/>
        <v>25995.030239431642</v>
      </c>
      <c r="L35" s="14">
        <f t="shared" ca="1" si="9"/>
        <v>0.45792005871242536</v>
      </c>
    </row>
    <row r="36" spans="1:42" x14ac:dyDescent="0.25">
      <c r="A36" s="11">
        <f t="shared" si="10"/>
        <v>6</v>
      </c>
      <c r="B36" s="12" t="s">
        <v>12</v>
      </c>
      <c r="C36" s="13">
        <v>57243.726410000003</v>
      </c>
      <c r="D36" s="13">
        <f ca="1">OFFSET($U$3,(ROWS($U$4:U9)-1),-(ROWS($U$4:U9)-1),1,1)</f>
        <v>22062.420119999999</v>
      </c>
      <c r="E36" s="14">
        <f ca="1">OFFSET($U$28,0,-(ROWS($I$30:I35)-1),1,1)</f>
        <v>1.0009779258364087</v>
      </c>
      <c r="F36" s="17">
        <f t="shared" ca="1" si="4"/>
        <v>-21.55433211079071</v>
      </c>
      <c r="G36" s="17">
        <f t="shared" ca="1" si="5"/>
        <v>22040.865787889208</v>
      </c>
      <c r="H36" s="14">
        <f t="shared" ca="1" si="6"/>
        <v>0.3850354819674851</v>
      </c>
      <c r="I36" s="39">
        <f t="array" aca="1" ref="I36" ca="1">SUM($D$31:$D$50*$O$31^ABS(A36-$A$31:$A$50))/SUM($C$31:$C$50*$E$31:$E$50*$O$31^ABS(A36-$A$31:$A$50))</f>
        <v>0.49771545794772082</v>
      </c>
      <c r="J36" s="19">
        <f t="shared" ca="1" si="7"/>
        <v>-27.862170578311201</v>
      </c>
      <c r="K36" s="13">
        <f t="shared" ca="1" si="8"/>
        <v>22034.557949421687</v>
      </c>
      <c r="L36" s="14">
        <f t="shared" ca="1" si="9"/>
        <v>0.38492528930772812</v>
      </c>
    </row>
    <row r="37" spans="1:42" x14ac:dyDescent="0.25">
      <c r="A37" s="11">
        <f t="shared" si="10"/>
        <v>7</v>
      </c>
      <c r="B37" s="12" t="s">
        <v>13</v>
      </c>
      <c r="C37" s="13">
        <v>58405.126409999997</v>
      </c>
      <c r="D37" s="13">
        <f ca="1">OFFSET($U$3,(ROWS($U$4:U10)-1),-(ROWS($U$4:U10)-1),1,1)</f>
        <v>25940.097430000002</v>
      </c>
      <c r="E37" s="14">
        <f ca="1">OFFSET($U$28,0,-(ROWS($I$30:I36)-1),1,1)</f>
        <v>1.001606441285352</v>
      </c>
      <c r="F37" s="17">
        <f t="shared" ca="1" si="4"/>
        <v>-41.604408418272214</v>
      </c>
      <c r="G37" s="17">
        <f t="shared" ca="1" si="5"/>
        <v>25898.493021581729</v>
      </c>
      <c r="H37" s="14">
        <f t="shared" ca="1" si="6"/>
        <v>0.44342842167271546</v>
      </c>
      <c r="I37" s="39">
        <f t="array" aca="1" ref="I37" ca="1">SUM($D$31:$D$50*$O$31^ABS(A37-$A$31:$A$50))/SUM($C$31:$C$50*$E$31:$E$50*$O$31^ABS(A37-$A$31:$A$50))</f>
        <v>0.49771545794772093</v>
      </c>
      <c r="J37" s="19">
        <f t="shared" ca="1" si="7"/>
        <v>-46.69785736879755</v>
      </c>
      <c r="K37" s="13">
        <f t="shared" ca="1" si="8"/>
        <v>25893.399572631202</v>
      </c>
      <c r="L37" s="14">
        <f t="shared" ca="1" si="9"/>
        <v>0.44334121273638388</v>
      </c>
    </row>
    <row r="38" spans="1:42" x14ac:dyDescent="0.25">
      <c r="A38" s="11">
        <f t="shared" si="10"/>
        <v>8</v>
      </c>
      <c r="B38" s="12" t="s">
        <v>14</v>
      </c>
      <c r="C38" s="13">
        <v>59911.596409999998</v>
      </c>
      <c r="D38" s="13">
        <f ca="1">OFFSET($U$3,(ROWS($U$4:U11)-1),-(ROWS($U$4:U11)-1),1,1)</f>
        <v>32474.15653</v>
      </c>
      <c r="E38" s="14">
        <f ca="1">OFFSET($U$28,0,-(ROWS($I$30:I37)-1),1,1)</f>
        <v>1.0025034888787678</v>
      </c>
      <c r="F38" s="17">
        <f t="shared" ca="1" si="4"/>
        <v>-81.095667618221341</v>
      </c>
      <c r="G38" s="17">
        <f t="shared" ca="1" si="5"/>
        <v>32393.060862381779</v>
      </c>
      <c r="H38" s="14">
        <f t="shared" ca="1" si="6"/>
        <v>0.54068098337261083</v>
      </c>
      <c r="I38" s="39">
        <f t="array" aca="1" ref="I38" ca="1">SUM($D$31:$D$50*$O$31^ABS(A38-$A$31:$A$50))/SUM($C$31:$C$50*$E$31:$E$50*$O$31^ABS(A38-$A$31:$A$50))</f>
        <v>0.49771545794772093</v>
      </c>
      <c r="J38" s="19">
        <f t="shared" ca="1" si="7"/>
        <v>-74.651353732490747</v>
      </c>
      <c r="K38" s="13">
        <f t="shared" ca="1" si="8"/>
        <v>32399.50517626751</v>
      </c>
      <c r="L38" s="14">
        <f t="shared" ca="1" si="9"/>
        <v>0.54078854708768243</v>
      </c>
      <c r="T38" s="51" t="s">
        <v>46</v>
      </c>
      <c r="U38" s="51" t="s">
        <v>52</v>
      </c>
      <c r="V38" s="50" t="str">
        <f t="array" ref="V38:AO38">TRANSPOSE(B31:B51)</f>
        <v>201003</v>
      </c>
      <c r="W38" s="50" t="str">
        <v>201006</v>
      </c>
      <c r="X38" s="50" t="str">
        <v>201009</v>
      </c>
      <c r="Y38" s="50" t="str">
        <v>201012</v>
      </c>
      <c r="Z38" s="50" t="str">
        <v>201103</v>
      </c>
      <c r="AA38" s="50" t="str">
        <v>201106</v>
      </c>
      <c r="AB38" s="50" t="str">
        <v>201109</v>
      </c>
      <c r="AC38" s="50" t="str">
        <v>201112</v>
      </c>
      <c r="AD38" s="50" t="str">
        <v>201203</v>
      </c>
      <c r="AE38" s="50" t="str">
        <v>201206</v>
      </c>
      <c r="AF38" s="50" t="str">
        <v>201209</v>
      </c>
      <c r="AG38" s="50" t="str">
        <v>201212</v>
      </c>
      <c r="AH38" s="50" t="str">
        <v>201303</v>
      </c>
      <c r="AI38" s="50" t="str">
        <v>201306</v>
      </c>
      <c r="AJ38" s="50" t="str">
        <v>201309</v>
      </c>
      <c r="AK38" s="50" t="str">
        <v>201312</v>
      </c>
      <c r="AL38" s="50" t="str">
        <v>201403</v>
      </c>
      <c r="AM38" s="50" t="str">
        <v>201406</v>
      </c>
      <c r="AN38" s="50" t="str">
        <v>201409</v>
      </c>
      <c r="AO38" s="50" t="str">
        <v>201412</v>
      </c>
      <c r="AP38" s="50" t="s">
        <v>57</v>
      </c>
    </row>
    <row r="39" spans="1:42" x14ac:dyDescent="0.25">
      <c r="A39" s="11">
        <f t="shared" si="10"/>
        <v>9</v>
      </c>
      <c r="B39" s="12" t="s">
        <v>15</v>
      </c>
      <c r="C39" s="13">
        <v>60339.49641</v>
      </c>
      <c r="D39" s="13">
        <f ca="1">OFFSET($U$3,(ROWS($U$4:U12)-1),-(ROWS($U$4:U12)-1),1,1)</f>
        <v>29755.305410000001</v>
      </c>
      <c r="E39" s="14">
        <f ca="1">OFFSET($U$28,0,-(ROWS($I$30:I38)-1),1,1)</f>
        <v>1.0045248985413049</v>
      </c>
      <c r="F39" s="17">
        <f t="shared" ca="1" si="4"/>
        <v>-134.03325118302746</v>
      </c>
      <c r="G39" s="17">
        <f t="shared" ca="1" si="5"/>
        <v>29621.272158816973</v>
      </c>
      <c r="H39" s="14">
        <f t="shared" ca="1" si="6"/>
        <v>0.49091016533422493</v>
      </c>
      <c r="I39" s="39">
        <f t="array" aca="1" ref="I39" ca="1">SUM($D$31:$D$50*$O$31^ABS(A39-$A$31:$A$50))/SUM($C$31:$C$50*$E$31:$E$50*$O$31^ABS(A39-$A$31:$A$50))</f>
        <v>0.49771545794772093</v>
      </c>
      <c r="J39" s="19">
        <f t="shared" ca="1" si="7"/>
        <v>-135.89130090097737</v>
      </c>
      <c r="K39" s="13">
        <f t="shared" ca="1" si="8"/>
        <v>29619.414109099023</v>
      </c>
      <c r="L39" s="14">
        <f t="shared" ca="1" si="9"/>
        <v>0.490879372075605</v>
      </c>
      <c r="S39" s="4">
        <v>1E-4</v>
      </c>
      <c r="T39" s="53">
        <v>3.2012929636357512</v>
      </c>
      <c r="U39" s="53">
        <v>-41.248898717266684</v>
      </c>
      <c r="V39" s="14">
        <v>0.46929407744676555</v>
      </c>
      <c r="W39" s="14">
        <v>0.41932603216685005</v>
      </c>
      <c r="X39" s="14">
        <v>0.32532646120273268</v>
      </c>
      <c r="Y39" s="14">
        <v>0.42914864733507369</v>
      </c>
      <c r="Z39" s="14">
        <v>0.45800755939970778</v>
      </c>
      <c r="AA39" s="14">
        <v>0.38534957937484293</v>
      </c>
      <c r="AB39" s="14">
        <v>0.4437111203237088</v>
      </c>
      <c r="AC39" s="14">
        <v>0.54098080166374485</v>
      </c>
      <c r="AD39" s="14">
        <v>0.49207150395067084</v>
      </c>
      <c r="AE39" s="14">
        <v>0.44141405044397136</v>
      </c>
      <c r="AF39" s="14">
        <v>0.53667061343519706</v>
      </c>
      <c r="AG39" s="14">
        <v>0.68131612726873469</v>
      </c>
      <c r="AH39" s="14">
        <v>0.61030433028184561</v>
      </c>
      <c r="AI39" s="14">
        <v>0.41322360734066027</v>
      </c>
      <c r="AJ39" s="14">
        <v>0.42886920532301359</v>
      </c>
      <c r="AK39" s="14">
        <v>0.70358711916995809</v>
      </c>
      <c r="AL39" s="14">
        <v>0.57100550107732528</v>
      </c>
      <c r="AM39" s="14">
        <v>0.55733778972463943</v>
      </c>
      <c r="AN39" s="14">
        <v>0.49170944554384621</v>
      </c>
      <c r="AO39" s="14">
        <v>0.48962429687751502</v>
      </c>
      <c r="AP39" s="52">
        <v>9.1935161497122238E-4</v>
      </c>
    </row>
    <row r="40" spans="1:42" x14ac:dyDescent="0.25">
      <c r="A40" s="11">
        <f t="shared" si="10"/>
        <v>10</v>
      </c>
      <c r="B40" s="12" t="s">
        <v>16</v>
      </c>
      <c r="C40" s="13">
        <v>61308.49641</v>
      </c>
      <c r="D40" s="13">
        <f ca="1">OFFSET($U$3,(ROWS($U$4:U13)-1),-(ROWS($U$4:U13)-1),1,1)</f>
        <v>27183.789840000001</v>
      </c>
      <c r="E40" s="14">
        <f ca="1">OFFSET($U$28,0,-(ROWS($I$30:I39)-1),1,1)</f>
        <v>1.0043006822317593</v>
      </c>
      <c r="F40" s="17">
        <f t="shared" ca="1" si="4"/>
        <v>-116.40820724822333</v>
      </c>
      <c r="G40" s="17">
        <f t="shared" ca="1" si="5"/>
        <v>27067.381632751778</v>
      </c>
      <c r="H40" s="14">
        <f t="shared" ca="1" si="6"/>
        <v>0.44149478812429055</v>
      </c>
      <c r="I40" s="39">
        <f t="array" aca="1" ref="I40" ca="1">SUM($D$31:$D$50*$O$31^ABS(A40-$A$31:$A$50))/SUM($C$31:$C$50*$E$31:$E$50*$O$31^ABS(A40-$A$31:$A$50))</f>
        <v>0.49771545794772071</v>
      </c>
      <c r="J40" s="19">
        <f t="shared" ca="1" si="7"/>
        <v>-131.23181912424212</v>
      </c>
      <c r="K40" s="13">
        <f t="shared" ca="1" si="8"/>
        <v>27052.55802087576</v>
      </c>
      <c r="L40" s="14">
        <f t="shared" ca="1" si="9"/>
        <v>0.44125300088852332</v>
      </c>
      <c r="S40" s="48">
        <v>0.05</v>
      </c>
      <c r="T40" s="53">
        <v>40.37962970287208</v>
      </c>
      <c r="U40" s="53">
        <v>-76.501662344972829</v>
      </c>
      <c r="V40" s="14">
        <v>0.46644721563050517</v>
      </c>
      <c r="W40" s="14">
        <v>0.41719549078098506</v>
      </c>
      <c r="X40" s="14">
        <v>0.33491136348433426</v>
      </c>
      <c r="Y40" s="14">
        <v>0.42575683842939732</v>
      </c>
      <c r="Z40" s="14">
        <v>0.4531054431184503</v>
      </c>
      <c r="AA40" s="14">
        <v>0.39176072923920185</v>
      </c>
      <c r="AB40" s="14">
        <v>0.44578051017121423</v>
      </c>
      <c r="AC40" s="14">
        <v>0.5338940583038736</v>
      </c>
      <c r="AD40" s="14">
        <v>0.49193936629169288</v>
      </c>
      <c r="AE40" s="14">
        <v>0.44867403240578863</v>
      </c>
      <c r="AF40" s="14">
        <v>0.53891961579752623</v>
      </c>
      <c r="AG40" s="14">
        <v>0.67028463390844195</v>
      </c>
      <c r="AH40" s="14">
        <v>0.60382316284089044</v>
      </c>
      <c r="AI40" s="14">
        <v>0.42403139421882469</v>
      </c>
      <c r="AJ40" s="14">
        <v>0.44159149309014806</v>
      </c>
      <c r="AK40" s="14">
        <v>0.68428779150721564</v>
      </c>
      <c r="AL40" s="14">
        <v>0.5756934177563543</v>
      </c>
      <c r="AM40" s="14">
        <v>0.55499587883857548</v>
      </c>
      <c r="AN40" s="14">
        <v>0.49467386951810827</v>
      </c>
      <c r="AO40" s="14">
        <v>0.4898859647523518</v>
      </c>
      <c r="AP40" s="52">
        <v>7.7524517636879341E-4</v>
      </c>
    </row>
    <row r="41" spans="1:42" x14ac:dyDescent="0.25">
      <c r="A41" s="11">
        <f t="shared" si="10"/>
        <v>11</v>
      </c>
      <c r="B41" s="12" t="s">
        <v>17</v>
      </c>
      <c r="C41" s="13">
        <v>60262.306409999997</v>
      </c>
      <c r="D41" s="13">
        <f ca="1">OFFSET($U$3,(ROWS($U$4:U14)-1),-(ROWS($U$4:U14)-1),1,1)</f>
        <v>32282.074619999999</v>
      </c>
      <c r="E41" s="14">
        <f ca="1">OFFSET($U$28,0,-(ROWS($I$30:I40)-1),1,1)</f>
        <v>1.0062174934717345</v>
      </c>
      <c r="F41" s="17">
        <f t="shared" ca="1" si="4"/>
        <v>-199.47336386627285</v>
      </c>
      <c r="G41" s="17">
        <f t="shared" ca="1" si="5"/>
        <v>32082.601256133727</v>
      </c>
      <c r="H41" s="14">
        <f t="shared" ca="1" si="6"/>
        <v>0.53238256494626801</v>
      </c>
      <c r="I41" s="39">
        <f t="array" aca="1" ref="I41" ca="1">SUM($D$31:$D$50*$O$31^ABS(A41-$A$31:$A$50))/SUM($C$31:$C$50*$E$31:$E$50*$O$31^ABS(A41-$A$31:$A$50))</f>
        <v>0.49771545794772071</v>
      </c>
      <c r="J41" s="19">
        <f t="shared" ca="1" si="7"/>
        <v>-186.48427499704911</v>
      </c>
      <c r="K41" s="13">
        <f t="shared" ca="1" si="8"/>
        <v>32095.590345002951</v>
      </c>
      <c r="L41" s="14">
        <f t="shared" ca="1" si="9"/>
        <v>0.53259810745771541</v>
      </c>
      <c r="S41" s="49">
        <f>S40+5%</f>
        <v>0.1</v>
      </c>
      <c r="T41" s="53">
        <v>65.358941296627563</v>
      </c>
      <c r="U41" s="53">
        <v>-100.32530549672447</v>
      </c>
      <c r="V41" s="14">
        <v>0.46319304607917045</v>
      </c>
      <c r="W41" s="14">
        <v>0.41550358302381196</v>
      </c>
      <c r="X41" s="14">
        <v>0.34385929314802993</v>
      </c>
      <c r="Y41" s="14">
        <v>0.42282656408535263</v>
      </c>
      <c r="Z41" s="14">
        <v>0.44858017467690081</v>
      </c>
      <c r="AA41" s="14">
        <v>0.39783183927588084</v>
      </c>
      <c r="AB41" s="14">
        <v>0.44770870400683627</v>
      </c>
      <c r="AC41" s="14">
        <v>0.52706495858456848</v>
      </c>
      <c r="AD41" s="14">
        <v>0.4918837943539085</v>
      </c>
      <c r="AE41" s="14">
        <v>0.45605036035905533</v>
      </c>
      <c r="AF41" s="14">
        <v>0.54077770036325101</v>
      </c>
      <c r="AG41" s="14">
        <v>0.6589541337054643</v>
      </c>
      <c r="AH41" s="14">
        <v>0.5974622511689871</v>
      </c>
      <c r="AI41" s="14">
        <v>0.43524819491264927</v>
      </c>
      <c r="AJ41" s="14">
        <v>0.45346316007137044</v>
      </c>
      <c r="AK41" s="14">
        <v>0.66664384408685917</v>
      </c>
      <c r="AL41" s="14">
        <v>0.57843487274759298</v>
      </c>
      <c r="AM41" s="14">
        <v>0.55328436641810053</v>
      </c>
      <c r="AN41" s="14">
        <v>0.49753913087105522</v>
      </c>
      <c r="AO41" s="14">
        <v>0.49047771132219176</v>
      </c>
      <c r="AP41" s="52">
        <v>6.5928053475004778E-4</v>
      </c>
    </row>
    <row r="42" spans="1:42" x14ac:dyDescent="0.25">
      <c r="A42" s="11">
        <f t="shared" si="10"/>
        <v>12</v>
      </c>
      <c r="B42" s="12" t="s">
        <v>18</v>
      </c>
      <c r="C42" s="13">
        <v>60512.846409999998</v>
      </c>
      <c r="D42" s="13">
        <f ca="1">OFFSET($U$3,(ROWS($U$4:U15)-1),-(ROWS($U$4:U15)-1),1,1)</f>
        <v>41403.853819999997</v>
      </c>
      <c r="E42" s="14">
        <f ca="1">OFFSET($U$28,0,-(ROWS($I$30:I41)-1),1,1)</f>
        <v>1.006813954047467</v>
      </c>
      <c r="F42" s="17">
        <f t="shared" ca="1" si="4"/>
        <v>-280.21458799151878</v>
      </c>
      <c r="G42" s="17">
        <f t="shared" ca="1" si="5"/>
        <v>41123.639232008478</v>
      </c>
      <c r="H42" s="14">
        <f t="shared" ca="1" si="6"/>
        <v>0.67958527274322078</v>
      </c>
      <c r="I42" s="39">
        <f t="array" aca="1" ref="I42" ca="1">SUM($D$31:$D$50*$O$31^ABS(A42-$A$31:$A$50))/SUM($C$31:$C$50*$E$31:$E$50*$O$31^ABS(A42-$A$31:$A$50))</f>
        <v>0.49771545794772099</v>
      </c>
      <c r="J42" s="19">
        <f t="shared" ca="1" si="7"/>
        <v>-205.22388812643783</v>
      </c>
      <c r="K42" s="13">
        <f t="shared" ca="1" si="8"/>
        <v>41198.629931873562</v>
      </c>
      <c r="L42" s="14">
        <f t="shared" ca="1" si="9"/>
        <v>0.68082452530385873</v>
      </c>
      <c r="S42" s="49">
        <f t="shared" ref="S42:S59" si="11">S41+5%</f>
        <v>0.15000000000000002</v>
      </c>
      <c r="T42" s="53">
        <v>77.906228601901375</v>
      </c>
      <c r="U42" s="53">
        <v>-112.38508698974192</v>
      </c>
      <c r="V42" s="14">
        <v>0.45962632920092861</v>
      </c>
      <c r="W42" s="14">
        <v>0.4141936431975336</v>
      </c>
      <c r="X42" s="14">
        <v>0.35214921758258322</v>
      </c>
      <c r="Y42" s="14">
        <v>0.4203821093020727</v>
      </c>
      <c r="Z42" s="14">
        <v>0.44451548226489901</v>
      </c>
      <c r="AA42" s="14">
        <v>0.40351200209832305</v>
      </c>
      <c r="AB42" s="14">
        <v>0.44946800983895424</v>
      </c>
      <c r="AC42" s="14">
        <v>0.52059832684995277</v>
      </c>
      <c r="AD42" s="14">
        <v>0.49194552190791752</v>
      </c>
      <c r="AE42" s="14">
        <v>0.46336622338761474</v>
      </c>
      <c r="AF42" s="14">
        <v>0.54218374309371431</v>
      </c>
      <c r="AG42" s="14">
        <v>0.6474887143941217</v>
      </c>
      <c r="AH42" s="14">
        <v>0.59132280191776276</v>
      </c>
      <c r="AI42" s="14">
        <v>0.44660663245749066</v>
      </c>
      <c r="AJ42" s="14">
        <v>0.46456199484091348</v>
      </c>
      <c r="AK42" s="14">
        <v>0.65057326149037731</v>
      </c>
      <c r="AL42" s="14">
        <v>0.57952456980921396</v>
      </c>
      <c r="AM42" s="14">
        <v>0.55200390434569824</v>
      </c>
      <c r="AN42" s="14">
        <v>0.50038143242770483</v>
      </c>
      <c r="AO42" s="14">
        <v>0.4914230519539402</v>
      </c>
      <c r="AP42" s="52">
        <v>5.6613555527882417E-4</v>
      </c>
    </row>
    <row r="43" spans="1:42" x14ac:dyDescent="0.25">
      <c r="A43" s="11">
        <f t="shared" si="10"/>
        <v>13</v>
      </c>
      <c r="B43" s="12" t="s">
        <v>19</v>
      </c>
      <c r="C43" s="13">
        <v>62668.156410000003</v>
      </c>
      <c r="D43" s="13">
        <f ca="1">OFFSET($U$3,(ROWS($U$4:U16)-1),-(ROWS($U$4:U16)-1),1,1)</f>
        <v>38506.088459999999</v>
      </c>
      <c r="E43" s="14">
        <f ca="1">OFFSET($U$28,0,-(ROWS($I$30:I42)-1),1,1)</f>
        <v>1.0094345395889015</v>
      </c>
      <c r="F43" s="17">
        <f t="shared" ca="1" si="4"/>
        <v>-359.89180253091763</v>
      </c>
      <c r="G43" s="17">
        <f t="shared" ca="1" si="5"/>
        <v>38146.196657469081</v>
      </c>
      <c r="H43" s="14">
        <f t="shared" ca="1" si="6"/>
        <v>0.60870143375371522</v>
      </c>
      <c r="I43" s="39">
        <f t="array" aca="1" ref="I43" ca="1">SUM($D$31:$D$50*$O$31^ABS(A43-$A$31:$A$50))/SUM($C$31:$C$50*$E$31:$E$50*$O$31^ABS(A43-$A$31:$A$50))</f>
        <v>0.49771545794772099</v>
      </c>
      <c r="J43" s="19">
        <f t="shared" ca="1" si="7"/>
        <v>-294.27187677822923</v>
      </c>
      <c r="K43" s="13">
        <f t="shared" ca="1" si="8"/>
        <v>38211.816583221771</v>
      </c>
      <c r="L43" s="14">
        <f t="shared" ca="1" si="9"/>
        <v>0.60974853533626983</v>
      </c>
      <c r="S43" s="49">
        <f t="shared" si="11"/>
        <v>0.2</v>
      </c>
      <c r="T43" s="53">
        <v>77.932658744186028</v>
      </c>
      <c r="U43" s="53">
        <v>-112.48196120177226</v>
      </c>
      <c r="V43" s="14">
        <v>0.45583693332643416</v>
      </c>
      <c r="W43" s="14">
        <v>0.41321789802798709</v>
      </c>
      <c r="X43" s="14">
        <v>0.35980878915706538</v>
      </c>
      <c r="Y43" s="14">
        <v>0.41844024040454914</v>
      </c>
      <c r="Z43" s="14">
        <v>0.4409694357957244</v>
      </c>
      <c r="AA43" s="14">
        <v>0.40878510914026672</v>
      </c>
      <c r="AB43" s="14">
        <v>0.45105259594733998</v>
      </c>
      <c r="AC43" s="14">
        <v>0.51457271382261849</v>
      </c>
      <c r="AD43" s="14">
        <v>0.49214449146591688</v>
      </c>
      <c r="AE43" s="14">
        <v>0.47046255927329717</v>
      </c>
      <c r="AF43" s="14">
        <v>0.54309467747200968</v>
      </c>
      <c r="AG43" s="14">
        <v>0.63603211727394204</v>
      </c>
      <c r="AH43" s="14">
        <v>0.5854669262822928</v>
      </c>
      <c r="AI43" s="14">
        <v>0.45788641037866307</v>
      </c>
      <c r="AJ43" s="14">
        <v>0.47494355230935292</v>
      </c>
      <c r="AK43" s="14">
        <v>0.63597879840212324</v>
      </c>
      <c r="AL43" s="14">
        <v>0.5792530927287981</v>
      </c>
      <c r="AM43" s="14">
        <v>0.55099197893787977</v>
      </c>
      <c r="AN43" s="14">
        <v>0.50324239504540735</v>
      </c>
      <c r="AO43" s="14">
        <v>0.49274646353358653</v>
      </c>
      <c r="AP43" s="52">
        <v>4.9101034535217573E-4</v>
      </c>
    </row>
    <row r="44" spans="1:42" x14ac:dyDescent="0.25">
      <c r="A44" s="11">
        <f t="shared" si="10"/>
        <v>14</v>
      </c>
      <c r="B44" s="12" t="s">
        <v>20</v>
      </c>
      <c r="C44" s="13">
        <v>63109.326410000001</v>
      </c>
      <c r="D44" s="13">
        <f ca="1">OFFSET($U$3,(ROWS($U$4:U17)-1),-(ROWS($U$4:U17)-1),1,1)</f>
        <v>26310.429260000001</v>
      </c>
      <c r="E44" s="14">
        <f ca="1">OFFSET($U$28,0,-(ROWS($I$30:I43)-1),1,1)</f>
        <v>1.0139368238511293</v>
      </c>
      <c r="F44" s="17">
        <f t="shared" ca="1" si="4"/>
        <v>-361.64365413959604</v>
      </c>
      <c r="G44" s="17">
        <f t="shared" ca="1" si="5"/>
        <v>25948.785605860405</v>
      </c>
      <c r="H44" s="14">
        <f t="shared" ca="1" si="6"/>
        <v>0.41117196271878897</v>
      </c>
      <c r="I44" s="39">
        <f t="array" aca="1" ref="I44" ca="1">SUM($D$31:$D$50*$O$31^ABS(A44-$A$31:$A$50))/SUM($C$31:$C$50*$E$31:$E$50*$O$31^ABS(A44-$A$31:$A$50))</f>
        <v>0.49771545794772082</v>
      </c>
      <c r="J44" s="19">
        <f t="shared" ca="1" si="7"/>
        <v>-437.76242850750828</v>
      </c>
      <c r="K44" s="13">
        <f t="shared" ca="1" si="8"/>
        <v>25872.666831492494</v>
      </c>
      <c r="L44" s="14">
        <f t="shared" ca="1" si="9"/>
        <v>0.40996582127032233</v>
      </c>
      <c r="S44" s="49">
        <f t="shared" si="11"/>
        <v>0.25</v>
      </c>
      <c r="T44" s="53">
        <v>65.601434769252592</v>
      </c>
      <c r="U44" s="53">
        <v>-100.64726505904696</v>
      </c>
      <c r="V44" s="14">
        <v>0.45191510060359552</v>
      </c>
      <c r="W44" s="14">
        <v>0.41254214541276923</v>
      </c>
      <c r="X44" s="14">
        <v>0.36688775706292975</v>
      </c>
      <c r="Y44" s="14">
        <v>0.41701642229642527</v>
      </c>
      <c r="Z44" s="14">
        <v>0.43798790599926002</v>
      </c>
      <c r="AA44" s="14">
        <v>0.41365799944912879</v>
      </c>
      <c r="AB44" s="14">
        <v>0.45247541391019497</v>
      </c>
      <c r="AC44" s="14">
        <v>0.50905135815521141</v>
      </c>
      <c r="AD44" s="14">
        <v>0.49247920055042349</v>
      </c>
      <c r="AE44" s="14">
        <v>0.47718945256391543</v>
      </c>
      <c r="AF44" s="14">
        <v>0.54348257816923962</v>
      </c>
      <c r="AG44" s="14">
        <v>0.62472054977393943</v>
      </c>
      <c r="AH44" s="14">
        <v>0.57993304024415326</v>
      </c>
      <c r="AI44" s="14">
        <v>0.46888687245529737</v>
      </c>
      <c r="AJ44" s="14">
        <v>0.48462367228834635</v>
      </c>
      <c r="AK44" s="14">
        <v>0.62277825925428221</v>
      </c>
      <c r="AL44" s="14">
        <v>0.57789375688012845</v>
      </c>
      <c r="AM44" s="14">
        <v>0.55012526380075188</v>
      </c>
      <c r="AN44" s="14">
        <v>0.50613473196036929</v>
      </c>
      <c r="AO44" s="14">
        <v>0.49446607366305678</v>
      </c>
      <c r="AP44" s="52">
        <v>4.2983331695007184E-4</v>
      </c>
    </row>
    <row r="45" spans="1:42" x14ac:dyDescent="0.25">
      <c r="A45" s="11">
        <f t="shared" si="10"/>
        <v>15</v>
      </c>
      <c r="B45" s="12" t="s">
        <v>21</v>
      </c>
      <c r="C45" s="13">
        <v>62933.526409999999</v>
      </c>
      <c r="D45" s="13">
        <f ca="1">OFFSET($U$3,(ROWS($U$4:U18)-1),-(ROWS($U$4:U18)-1),1,1)</f>
        <v>27402.4918</v>
      </c>
      <c r="E45" s="14">
        <f ca="1">OFFSET($U$28,0,-(ROWS($I$30:I44)-1),1,1)</f>
        <v>1.0220717607054832</v>
      </c>
      <c r="F45" s="17">
        <f t="shared" ca="1" si="4"/>
        <v>-591.76005540558981</v>
      </c>
      <c r="G45" s="17">
        <f t="shared" ca="1" si="5"/>
        <v>26810.73174459441</v>
      </c>
      <c r="H45" s="14">
        <f t="shared" ca="1" si="6"/>
        <v>0.42601667622957551</v>
      </c>
      <c r="I45" s="39">
        <f t="array" aca="1" ref="I45" ca="1">SUM($D$31:$D$50*$O$31^ABS(A45-$A$31:$A$50))/SUM($C$31:$C$50*$E$31:$E$50*$O$31^ABS(A45-$A$31:$A$50))</f>
        <v>0.49771545794772082</v>
      </c>
      <c r="J45" s="19">
        <f t="shared" ca="1" si="7"/>
        <v>-691.35351596575595</v>
      </c>
      <c r="K45" s="13">
        <f t="shared" ca="1" si="8"/>
        <v>26711.138284034245</v>
      </c>
      <c r="L45" s="14">
        <f t="shared" ca="1" si="9"/>
        <v>0.42443415787661798</v>
      </c>
      <c r="S45" s="49">
        <f t="shared" si="11"/>
        <v>0.3</v>
      </c>
      <c r="T45" s="53">
        <v>41.447130684844296</v>
      </c>
      <c r="U45" s="53">
        <v>-77.260161577888312</v>
      </c>
      <c r="V45" s="14">
        <v>0.44795312239292434</v>
      </c>
      <c r="W45" s="14">
        <v>0.41214708505508801</v>
      </c>
      <c r="X45" s="14">
        <v>0.37345359136862405</v>
      </c>
      <c r="Y45" s="14">
        <v>0.41612585573739314</v>
      </c>
      <c r="Z45" s="14">
        <v>0.43560869112520761</v>
      </c>
      <c r="AA45" s="14">
        <v>0.41816134944945083</v>
      </c>
      <c r="AB45" s="14">
        <v>0.45376769165972153</v>
      </c>
      <c r="AC45" s="14">
        <v>0.50408039815019545</v>
      </c>
      <c r="AD45" s="14">
        <v>0.49292808118282322</v>
      </c>
      <c r="AE45" s="14">
        <v>0.4834111459675996</v>
      </c>
      <c r="AF45" s="14">
        <v>0.54333457196054002</v>
      </c>
      <c r="AG45" s="14">
        <v>0.61367532627654764</v>
      </c>
      <c r="AH45" s="14">
        <v>0.57473648186666937</v>
      </c>
      <c r="AI45" s="14">
        <v>0.47942219172588418</v>
      </c>
      <c r="AJ45" s="14">
        <v>0.49358679028618552</v>
      </c>
      <c r="AK45" s="14">
        <v>0.61089529070524717</v>
      </c>
      <c r="AL45" s="14">
        <v>0.57569905989769377</v>
      </c>
      <c r="AM45" s="14">
        <v>0.54931547467572384</v>
      </c>
      <c r="AN45" s="14">
        <v>0.50905144872467734</v>
      </c>
      <c r="AO45" s="14">
        <v>0.4965882972750843</v>
      </c>
      <c r="AP45" s="52">
        <v>3.7914724654382803E-4</v>
      </c>
    </row>
    <row r="46" spans="1:42" x14ac:dyDescent="0.25">
      <c r="A46" s="11">
        <f t="shared" si="10"/>
        <v>16</v>
      </c>
      <c r="B46" s="12" t="s">
        <v>22</v>
      </c>
      <c r="C46" s="13">
        <v>63694.446409999997</v>
      </c>
      <c r="D46" s="13">
        <f ca="1">OFFSET($U$3,(ROWS($U$4:U19)-1),-(ROWS($U$4:U19)-1),1,1)</f>
        <v>45471.026949999999</v>
      </c>
      <c r="E46" s="14">
        <f ca="1">OFFSET($U$28,0,-(ROWS($I$30:I45)-1),1,1)</f>
        <v>1.0308604440914018</v>
      </c>
      <c r="F46" s="17">
        <f t="shared" ca="1" si="4"/>
        <v>-1361.2473861153194</v>
      </c>
      <c r="G46" s="17">
        <f t="shared" ca="1" si="5"/>
        <v>44109.77956388468</v>
      </c>
      <c r="H46" s="14">
        <f t="shared" ca="1" si="6"/>
        <v>0.69252159411121694</v>
      </c>
      <c r="I46" s="39">
        <f t="array" aca="1" ref="I46" ca="1">SUM($D$31:$D$50*$O$31^ABS(A46-$A$31:$A$50))/SUM($C$31:$C$50*$E$31:$E$50*$O$31^ABS(A46-$A$31:$A$50))</f>
        <v>0.49771545794772093</v>
      </c>
      <c r="J46" s="19">
        <f t="shared" ca="1" si="7"/>
        <v>-978.32886645223857</v>
      </c>
      <c r="K46" s="13">
        <f t="shared" ca="1" si="8"/>
        <v>44492.698083547759</v>
      </c>
      <c r="L46" s="14">
        <f t="shared" ca="1" si="9"/>
        <v>0.69853339798495251</v>
      </c>
      <c r="S46" s="49">
        <f t="shared" si="11"/>
        <v>0.35</v>
      </c>
      <c r="T46" s="53">
        <v>6.4222515623469008</v>
      </c>
      <c r="U46" s="53">
        <v>-43.100952110280105</v>
      </c>
      <c r="V46" s="14">
        <v>0.44404895993235777</v>
      </c>
      <c r="W46" s="14">
        <v>0.4120310481620626</v>
      </c>
      <c r="X46" s="14">
        <v>0.37958958219923766</v>
      </c>
      <c r="Y46" s="14">
        <v>0.41578652358328499</v>
      </c>
      <c r="Z46" s="14">
        <v>0.43386638692743268</v>
      </c>
      <c r="AA46" s="14">
        <v>0.42234980966150543</v>
      </c>
      <c r="AB46" s="14">
        <v>0.45497730473832271</v>
      </c>
      <c r="AC46" s="14">
        <v>0.49968910470135053</v>
      </c>
      <c r="AD46" s="14">
        <v>0.49345321802544273</v>
      </c>
      <c r="AE46" s="14">
        <v>0.48901009919938915</v>
      </c>
      <c r="AF46" s="14">
        <v>0.54265103868295084</v>
      </c>
      <c r="AG46" s="14">
        <v>0.60299675866481173</v>
      </c>
      <c r="AH46" s="14">
        <v>0.56986902574195075</v>
      </c>
      <c r="AI46" s="14">
        <v>0.48931792596193563</v>
      </c>
      <c r="AJ46" s="14">
        <v>0.50179360179119425</v>
      </c>
      <c r="AK46" s="14">
        <v>0.60025153642603069</v>
      </c>
      <c r="AL46" s="14">
        <v>0.57289637304002805</v>
      </c>
      <c r="AM46" s="14">
        <v>0.54850444735194037</v>
      </c>
      <c r="AN46" s="14">
        <v>0.51197315583023451</v>
      </c>
      <c r="AO46" s="14">
        <v>0.49910447208757602</v>
      </c>
      <c r="AP46" s="52">
        <v>3.3601569987957243E-4</v>
      </c>
    </row>
    <row r="47" spans="1:42" x14ac:dyDescent="0.25">
      <c r="A47" s="11">
        <f t="shared" si="10"/>
        <v>17</v>
      </c>
      <c r="B47" s="12" t="s">
        <v>23</v>
      </c>
      <c r="C47" s="13">
        <v>64467.466410000001</v>
      </c>
      <c r="D47" s="13">
        <f ca="1">OFFSET($U$3,(ROWS($U$4:U20)-1),-(ROWS($U$4:U20)-1),1,1)</f>
        <v>38378.895879999996</v>
      </c>
      <c r="E47" s="14">
        <f ca="1">OFFSET($U$28,0,-(ROWS($I$30:I46)-1),1,1)</f>
        <v>1.0364420733806157</v>
      </c>
      <c r="F47" s="17">
        <f t="shared" ca="1" si="4"/>
        <v>-1349.4304948119898</v>
      </c>
      <c r="G47" s="17">
        <f t="shared" ca="1" si="5"/>
        <v>37029.465385188007</v>
      </c>
      <c r="H47" s="14">
        <f t="shared" ca="1" si="6"/>
        <v>0.57438995895523681</v>
      </c>
      <c r="I47" s="39">
        <f t="array" aca="1" ref="I47" ca="1">SUM($D$31:$D$50*$O$31^ABS(A47-$A$31:$A$50))/SUM($C$31:$C$50*$E$31:$E$50*$O$31^ABS(A47-$A$31:$A$50))</f>
        <v>0.49771545794772082</v>
      </c>
      <c r="J47" s="19">
        <f t="shared" ca="1" si="7"/>
        <v>-1169.2969318537655</v>
      </c>
      <c r="K47" s="13">
        <f t="shared" ca="1" si="8"/>
        <v>37209.598948146231</v>
      </c>
      <c r="L47" s="14">
        <f t="shared" ca="1" si="9"/>
        <v>0.57718413674737479</v>
      </c>
      <c r="S47" s="49">
        <f t="shared" si="11"/>
        <v>0.39999999999999997</v>
      </c>
      <c r="T47" s="53">
        <v>-38.115702408987545</v>
      </c>
      <c r="U47" s="53">
        <v>0.65184461635840307</v>
      </c>
      <c r="V47" s="14">
        <v>0.44031227721258392</v>
      </c>
      <c r="W47" s="14">
        <v>0.41221449607961536</v>
      </c>
      <c r="X47" s="14">
        <v>0.38539563431511326</v>
      </c>
      <c r="Y47" s="14">
        <v>0.41602412530763438</v>
      </c>
      <c r="Z47" s="14">
        <v>0.43279784138267502</v>
      </c>
      <c r="AA47" s="14">
        <v>0.42630134165867883</v>
      </c>
      <c r="AB47" s="14">
        <v>0.45616670396929748</v>
      </c>
      <c r="AC47" s="14">
        <v>0.49589229280246061</v>
      </c>
      <c r="AD47" s="14">
        <v>0.49400618325649887</v>
      </c>
      <c r="AE47" s="14">
        <v>0.49389008884824021</v>
      </c>
      <c r="AF47" s="14">
        <v>0.54144259235773007</v>
      </c>
      <c r="AG47" s="14">
        <v>0.59275916299229503</v>
      </c>
      <c r="AH47" s="14">
        <v>0.56529780375434946</v>
      </c>
      <c r="AI47" s="14">
        <v>0.49840876040980059</v>
      </c>
      <c r="AJ47" s="14">
        <v>0.50918768597502773</v>
      </c>
      <c r="AK47" s="14">
        <v>0.59076006371253298</v>
      </c>
      <c r="AL47" s="14">
        <v>0.56968337921210743</v>
      </c>
      <c r="AM47" s="14">
        <v>0.54765833082369486</v>
      </c>
      <c r="AN47" s="14">
        <v>0.5148735733219979</v>
      </c>
      <c r="AO47" s="14">
        <v>0.50198934370926107</v>
      </c>
      <c r="AP47" s="52">
        <v>2.979652754469339E-4</v>
      </c>
    </row>
    <row r="48" spans="1:42" x14ac:dyDescent="0.25">
      <c r="A48" s="11">
        <f t="shared" si="10"/>
        <v>18</v>
      </c>
      <c r="B48" s="12" t="s">
        <v>24</v>
      </c>
      <c r="C48" s="13">
        <v>66842.736409999998</v>
      </c>
      <c r="D48" s="13">
        <f ca="1">OFFSET($U$3,(ROWS($U$4:U21)-1),-(ROWS($U$4:U21)-1),1,1)</f>
        <v>38685.951719999997</v>
      </c>
      <c r="E48" s="14">
        <f ca="1">OFFSET($U$28,0,-(ROWS($I$30:I47)-1),1,1)</f>
        <v>1.0460853529098213</v>
      </c>
      <c r="F48" s="17">
        <f t="shared" ca="1" si="4"/>
        <v>-1704.3119213066748</v>
      </c>
      <c r="G48" s="17">
        <f t="shared" ca="1" si="5"/>
        <v>36981.639798693323</v>
      </c>
      <c r="H48" s="14">
        <f t="shared" ca="1" si="6"/>
        <v>0.55326340280049768</v>
      </c>
      <c r="I48" s="39">
        <f t="array" aca="1" ref="I48" ca="1">SUM($D$31:$D$50*$O$31^ABS(A48-$A$31:$A$50))/SUM($C$31:$C$50*$E$31:$E$50*$O$31^ABS(A48-$A$31:$A$50))</f>
        <v>0.49771545794772082</v>
      </c>
      <c r="J48" s="19">
        <f t="shared" ca="1" si="7"/>
        <v>-1533.1980826947772</v>
      </c>
      <c r="K48" s="13">
        <f t="shared" ca="1" si="8"/>
        <v>37152.753637305221</v>
      </c>
      <c r="L48" s="14">
        <f t="shared" ca="1" si="9"/>
        <v>0.55582334944245326</v>
      </c>
      <c r="S48" s="49">
        <f t="shared" si="11"/>
        <v>0.44999999999999996</v>
      </c>
      <c r="T48" s="53">
        <v>-90.449104210236555</v>
      </c>
      <c r="U48" s="53">
        <v>52.457102468165203</v>
      </c>
      <c r="V48" s="14">
        <v>0.43687363590385014</v>
      </c>
      <c r="W48" s="14">
        <v>0.41274699366131135</v>
      </c>
      <c r="X48" s="14">
        <v>0.39099207360931076</v>
      </c>
      <c r="Y48" s="14">
        <v>0.41687878805157208</v>
      </c>
      <c r="Z48" s="14">
        <v>0.4324480944150455</v>
      </c>
      <c r="AA48" s="14">
        <v>0.43011601356012324</v>
      </c>
      <c r="AB48" s="14">
        <v>0.45741104684317607</v>
      </c>
      <c r="AC48" s="14">
        <v>0.49269476954630931</v>
      </c>
      <c r="AD48" s="14">
        <v>0.49453553617670548</v>
      </c>
      <c r="AE48" s="14">
        <v>0.4979785656616959</v>
      </c>
      <c r="AF48" s="14">
        <v>0.53972656950829001</v>
      </c>
      <c r="AG48" s="14">
        <v>0.58300706617514897</v>
      </c>
      <c r="AH48" s="14">
        <v>0.56096413800502654</v>
      </c>
      <c r="AI48" s="14">
        <v>0.50653711159460879</v>
      </c>
      <c r="AJ48" s="14">
        <v>0.51570037370635968</v>
      </c>
      <c r="AK48" s="14">
        <v>0.58231953349333654</v>
      </c>
      <c r="AL48" s="14">
        <v>0.56622312292936272</v>
      </c>
      <c r="AM48" s="14">
        <v>0.54676041361527783</v>
      </c>
      <c r="AN48" s="14">
        <v>0.51772272580202106</v>
      </c>
      <c r="AO48" s="14">
        <v>0.50520064452118518</v>
      </c>
      <c r="AP48" s="52">
        <v>2.6296972314020196E-4</v>
      </c>
    </row>
    <row r="49" spans="1:42" x14ac:dyDescent="0.25">
      <c r="A49" s="11">
        <f t="shared" si="10"/>
        <v>19</v>
      </c>
      <c r="B49" s="12" t="s">
        <v>25</v>
      </c>
      <c r="C49" s="13">
        <v>68593.776410000006</v>
      </c>
      <c r="D49" s="13">
        <f ca="1">OFFSET($U$3,(ROWS($U$4:U22)-1),-(ROWS($U$4:U22)-1),1,1)</f>
        <v>34819.306790000002</v>
      </c>
      <c r="E49" s="14">
        <f ca="1">OFFSET($U$28,0,-(ROWS($I$30:I48)-1),1,1)</f>
        <v>1.0401053977100547</v>
      </c>
      <c r="F49" s="17">
        <f t="shared" ca="1" si="4"/>
        <v>-1342.5967694003266</v>
      </c>
      <c r="G49" s="17">
        <f t="shared" ca="1" si="5"/>
        <v>33476.710020599676</v>
      </c>
      <c r="H49" s="14">
        <f t="shared" ca="1" si="6"/>
        <v>0.48804296501335714</v>
      </c>
      <c r="I49" s="39">
        <f t="array" aca="1" ref="I49" ca="1">SUM($D$31:$D$50*$O$31^ABS(A49-$A$31:$A$50))/SUM($C$31:$C$50*$E$31:$E$50*$O$31^ABS(A49-$A$31:$A$50))</f>
        <v>0.49771545794772082</v>
      </c>
      <c r="J49" s="19">
        <f t="shared" ca="1" si="7"/>
        <v>-1369.2056106226717</v>
      </c>
      <c r="K49" s="13">
        <f t="shared" ca="1" si="8"/>
        <v>33450.101179377329</v>
      </c>
      <c r="L49" s="14">
        <f t="shared" ca="1" si="9"/>
        <v>0.48765504583737679</v>
      </c>
      <c r="S49" s="49">
        <f t="shared" si="11"/>
        <v>0.49999999999999994</v>
      </c>
      <c r="T49" s="53">
        <v>-148.52963014424108</v>
      </c>
      <c r="U49" s="53">
        <v>110.43499064538173</v>
      </c>
      <c r="V49" s="14">
        <v>0.4338979131165725</v>
      </c>
      <c r="W49" s="14">
        <v>0.41371762143287599</v>
      </c>
      <c r="X49" s="14">
        <v>0.39652683928999094</v>
      </c>
      <c r="Y49" s="14">
        <v>0.41841349398226213</v>
      </c>
      <c r="Z49" s="14">
        <v>0.43287680061532779</v>
      </c>
      <c r="AA49" s="14">
        <v>0.43391467999943278</v>
      </c>
      <c r="AB49" s="14">
        <v>0.4587969486139053</v>
      </c>
      <c r="AC49" s="14">
        <v>0.490097266899511</v>
      </c>
      <c r="AD49" s="14">
        <v>0.4949952738611178</v>
      </c>
      <c r="AE49" s="14">
        <v>0.50122866713699699</v>
      </c>
      <c r="AF49" s="14">
        <v>0.53752397014053299</v>
      </c>
      <c r="AG49" s="14">
        <v>0.57375297304070672</v>
      </c>
      <c r="AH49" s="14">
        <v>0.55678292274452379</v>
      </c>
      <c r="AI49" s="14">
        <v>0.5135521171594194</v>
      </c>
      <c r="AJ49" s="14">
        <v>0.52125298678338428</v>
      </c>
      <c r="AK49" s="14">
        <v>0.5748082039841329</v>
      </c>
      <c r="AL49" s="14">
        <v>0.56263792143868974</v>
      </c>
      <c r="AM49" s="14">
        <v>0.54580160113804832</v>
      </c>
      <c r="AN49" s="14">
        <v>0.52048661743602864</v>
      </c>
      <c r="AO49" s="14">
        <v>0.50867810614181819</v>
      </c>
      <c r="AP49" s="52">
        <v>2.2946990322812965E-4</v>
      </c>
    </row>
    <row r="50" spans="1:42" ht="15.75" thickBot="1" x14ac:dyDescent="0.3">
      <c r="A50" s="11">
        <f t="shared" si="10"/>
        <v>20</v>
      </c>
      <c r="B50" s="20" t="s">
        <v>26</v>
      </c>
      <c r="C50" s="21">
        <v>69620.506410000002</v>
      </c>
      <c r="D50" s="21">
        <f ca="1">OFFSET($U$3,(ROWS($U$4:U23)-1),-(ROWS($U$4:U23)-1),1,1)</f>
        <v>25472.84679</v>
      </c>
      <c r="E50" s="22">
        <f ca="1">OFFSET($U$28,0,-(ROWS($I$30:I49)-1),1,1)</f>
        <v>0.70852236400063762</v>
      </c>
      <c r="F50" s="23">
        <f t="shared" ca="1" si="4"/>
        <v>10479.224851280018</v>
      </c>
      <c r="G50" s="23">
        <f t="shared" ca="1" si="5"/>
        <v>35952.071641280018</v>
      </c>
      <c r="H50" s="22">
        <f t="shared" ca="1" si="6"/>
        <v>0.51640060515440334</v>
      </c>
      <c r="I50" s="40">
        <f t="array" aca="1" ref="I50" ca="1">SUM($D$31:$D$50*$O$31^ABS(A50-$A$31:$A$50))/SUM($C$31:$C$50*$E$31:$E$50*$O$31^ABS(A50-$A$31:$A$50))</f>
        <v>0.49771545794772082</v>
      </c>
      <c r="J50" s="24">
        <f t="shared" ca="1" si="7"/>
        <v>10100.050510654395</v>
      </c>
      <c r="K50" s="21">
        <f t="shared" ca="1" si="8"/>
        <v>35572.897300654397</v>
      </c>
      <c r="L50" s="22">
        <f t="shared" ca="1" si="9"/>
        <v>0.51095430261829944</v>
      </c>
      <c r="S50" s="49">
        <f t="shared" si="11"/>
        <v>0.54999999999999993</v>
      </c>
      <c r="T50" s="53">
        <v>-209.91685013908864</v>
      </c>
      <c r="U50" s="53">
        <v>172.3057090009022</v>
      </c>
      <c r="V50" s="14">
        <v>0.43160312114652483</v>
      </c>
      <c r="W50" s="14">
        <v>0.41526981584652328</v>
      </c>
      <c r="X50" s="14">
        <v>0.40218630619504947</v>
      </c>
      <c r="Y50" s="14">
        <v>0.42072407567081704</v>
      </c>
      <c r="Z50" s="14">
        <v>0.43416503001066187</v>
      </c>
      <c r="AA50" s="14">
        <v>0.43783778557186281</v>
      </c>
      <c r="AB50" s="14">
        <v>0.46042176246673783</v>
      </c>
      <c r="AC50" s="14">
        <v>0.48810278857190925</v>
      </c>
      <c r="AD50" s="14">
        <v>0.49535321568162777</v>
      </c>
      <c r="AE50" s="14">
        <v>0.50362132155123873</v>
      </c>
      <c r="AF50" s="14">
        <v>0.53485787889273639</v>
      </c>
      <c r="AG50" s="14">
        <v>0.56497735719564335</v>
      </c>
      <c r="AH50" s="14">
        <v>0.55264343903375501</v>
      </c>
      <c r="AI50" s="14">
        <v>0.51930857817919873</v>
      </c>
      <c r="AJ50" s="14">
        <v>0.52575570589527865</v>
      </c>
      <c r="AK50" s="14">
        <v>0.56807662841253537</v>
      </c>
      <c r="AL50" s="14">
        <v>0.55900081699674997</v>
      </c>
      <c r="AM50" s="14">
        <v>0.54476687824537418</v>
      </c>
      <c r="AN50" s="14">
        <v>0.52312117938069425</v>
      </c>
      <c r="AO50" s="14">
        <v>0.51233890166335438</v>
      </c>
      <c r="AP50" s="52">
        <v>1.9641435305186241E-4</v>
      </c>
    </row>
    <row r="51" spans="1:42" ht="15.75" thickBot="1" x14ac:dyDescent="0.3">
      <c r="B51" s="27" t="s">
        <v>42</v>
      </c>
      <c r="C51" s="28">
        <f>SUM(C31:C50)</f>
        <v>1212009.6782</v>
      </c>
      <c r="D51" s="28">
        <f ca="1">SUM(D31:D50)</f>
        <v>600422.9050599999</v>
      </c>
      <c r="E51" s="29"/>
      <c r="F51" s="28">
        <f ca="1">SUM(F31:F50)</f>
        <v>2528.8585340358622</v>
      </c>
      <c r="G51" s="30">
        <f ca="1">SUM(G31:G50)</f>
        <v>602951.76359403576</v>
      </c>
      <c r="H51" s="31">
        <f t="shared" ca="1" si="6"/>
        <v>0.49748098091881704</v>
      </c>
      <c r="I51" s="29"/>
      <c r="J51" s="30">
        <f ca="1">SUM(J31:J50)</f>
        <v>2813.046962382783</v>
      </c>
      <c r="K51" s="30">
        <f ca="1">SUM(K31:K50)</f>
        <v>603235.95202238276</v>
      </c>
      <c r="L51" s="32">
        <f t="shared" ca="1" si="9"/>
        <v>0.49771545794772082</v>
      </c>
      <c r="S51" s="49">
        <f t="shared" si="11"/>
        <v>0.6</v>
      </c>
      <c r="T51" s="53">
        <v>-271.51420967940749</v>
      </c>
      <c r="U51" s="53">
        <v>235.13159178692945</v>
      </c>
      <c r="V51" s="14">
        <v>0.43028509431694217</v>
      </c>
      <c r="W51" s="14">
        <v>0.41762086887588723</v>
      </c>
      <c r="X51" s="14">
        <v>0.40820916039106908</v>
      </c>
      <c r="Y51" s="14">
        <v>0.4239499148303319</v>
      </c>
      <c r="Z51" s="14">
        <v>0.43642161314230277</v>
      </c>
      <c r="AA51" s="14">
        <v>0.44204373980897771</v>
      </c>
      <c r="AB51" s="14">
        <v>0.46239247164447245</v>
      </c>
      <c r="AC51" s="14">
        <v>0.48672173000508429</v>
      </c>
      <c r="AD51" s="14">
        <v>0.49559798415693013</v>
      </c>
      <c r="AE51" s="14">
        <v>0.50516764755036958</v>
      </c>
      <c r="AF51" s="14">
        <v>0.53175419903278576</v>
      </c>
      <c r="AG51" s="14">
        <v>0.55663175179100932</v>
      </c>
      <c r="AH51" s="14">
        <v>0.54841277500329777</v>
      </c>
      <c r="AI51" s="14">
        <v>0.52366586016358596</v>
      </c>
      <c r="AJ51" s="14">
        <v>0.52910294103226407</v>
      </c>
      <c r="AK51" s="14">
        <v>0.56193804541489822</v>
      </c>
      <c r="AL51" s="14">
        <v>0.55532290194571099</v>
      </c>
      <c r="AM51" s="14">
        <v>0.54361531815822517</v>
      </c>
      <c r="AN51" s="14">
        <v>0.5255569602316702</v>
      </c>
      <c r="AO51" s="14">
        <v>0.51606466280301888</v>
      </c>
      <c r="AP51" s="52">
        <v>1.6330432454181483E-4</v>
      </c>
    </row>
    <row r="52" spans="1:42" x14ac:dyDescent="0.25">
      <c r="S52" s="49">
        <f t="shared" si="11"/>
        <v>0.65</v>
      </c>
      <c r="T52" s="53">
        <v>-328.95955646369225</v>
      </c>
      <c r="U52" s="53">
        <v>294.71647013201095</v>
      </c>
      <c r="V52" s="14">
        <v>0.43034519764005558</v>
      </c>
      <c r="W52" s="14">
        <v>0.42108325039408684</v>
      </c>
      <c r="X52" s="14">
        <v>0.41489999850635484</v>
      </c>
      <c r="Y52" s="14">
        <v>0.42828217512539174</v>
      </c>
      <c r="Z52" s="14">
        <v>0.43978623909616621</v>
      </c>
      <c r="AA52" s="14">
        <v>0.44670472260660693</v>
      </c>
      <c r="AB52" s="14">
        <v>0.46482219644662576</v>
      </c>
      <c r="AC52" s="14">
        <v>0.4859736731758228</v>
      </c>
      <c r="AD52" s="14">
        <v>0.4957430053259359</v>
      </c>
      <c r="AE52" s="14">
        <v>0.50591128241255723</v>
      </c>
      <c r="AF52" s="14">
        <v>0.52824494145736633</v>
      </c>
      <c r="AG52" s="14">
        <v>0.54864573770403768</v>
      </c>
      <c r="AH52" s="14">
        <v>0.54394320267562057</v>
      </c>
      <c r="AI52" s="14">
        <v>0.52648772491935669</v>
      </c>
      <c r="AJ52" s="14">
        <v>0.53116643639011762</v>
      </c>
      <c r="AK52" s="14">
        <v>0.55615639289837471</v>
      </c>
      <c r="AL52" s="14">
        <v>0.55153524326303305</v>
      </c>
      <c r="AM52" s="14">
        <v>0.54225088136857991</v>
      </c>
      <c r="AN52" s="14">
        <v>0.52766985482773909</v>
      </c>
      <c r="AO52" s="14">
        <v>0.51967331962507413</v>
      </c>
      <c r="AP52" s="52">
        <v>1.3023716109906568E-4</v>
      </c>
    </row>
    <row r="53" spans="1:42" x14ac:dyDescent="0.25">
      <c r="B53" s="16" t="str">
        <f>B30</f>
        <v>Row Labels</v>
      </c>
      <c r="C53" s="16" t="s">
        <v>43</v>
      </c>
      <c r="D53" s="16" t="s">
        <v>44</v>
      </c>
      <c r="E53" s="16" t="s">
        <v>46</v>
      </c>
      <c r="F53" s="16" t="s">
        <v>47</v>
      </c>
      <c r="G53" s="41" t="str">
        <f>E30</f>
        <v>% to Ult</v>
      </c>
      <c r="H53" s="16" t="s">
        <v>48</v>
      </c>
      <c r="I53" s="16" t="s">
        <v>49</v>
      </c>
      <c r="J53" s="16" t="s">
        <v>50</v>
      </c>
      <c r="K53" s="18" t="s">
        <v>51</v>
      </c>
      <c r="L53" s="16" t="s">
        <v>52</v>
      </c>
      <c r="M53" s="16" t="s">
        <v>54</v>
      </c>
      <c r="N53" s="16" t="s">
        <v>53</v>
      </c>
      <c r="O53" s="16" t="s">
        <v>55</v>
      </c>
      <c r="S53" s="49">
        <f t="shared" si="11"/>
        <v>0.70000000000000007</v>
      </c>
      <c r="T53" s="53">
        <v>-375.55595792279632</v>
      </c>
      <c r="U53" s="53">
        <v>344.53716757368011</v>
      </c>
      <c r="V53" s="14">
        <v>0.43230834385604078</v>
      </c>
      <c r="W53" s="14">
        <v>0.42607631837748372</v>
      </c>
      <c r="X53" s="14">
        <v>0.42263241074656765</v>
      </c>
      <c r="Y53" s="14">
        <v>0.43396115532068652</v>
      </c>
      <c r="Z53" s="14">
        <v>0.44442280775722232</v>
      </c>
      <c r="AA53" s="14">
        <v>0.45199550061544003</v>
      </c>
      <c r="AB53" s="14">
        <v>0.46782130865529697</v>
      </c>
      <c r="AC53" s="14">
        <v>0.48588372517245321</v>
      </c>
      <c r="AD53" s="14">
        <v>0.49582599660035537</v>
      </c>
      <c r="AE53" s="14">
        <v>0.50592947942823518</v>
      </c>
      <c r="AF53" s="14">
        <v>0.52437333261313868</v>
      </c>
      <c r="AG53" s="14">
        <v>0.54093804056048167</v>
      </c>
      <c r="AH53" s="14">
        <v>0.53908468496907314</v>
      </c>
      <c r="AI53" s="14">
        <v>0.52764544896114429</v>
      </c>
      <c r="AJ53" s="14">
        <v>0.53178967078566053</v>
      </c>
      <c r="AK53" s="14">
        <v>0.5504343066017956</v>
      </c>
      <c r="AL53" s="14">
        <v>0.54746644516406295</v>
      </c>
      <c r="AM53" s="14">
        <v>0.54048298561918928</v>
      </c>
      <c r="AN53" s="14">
        <v>0.52923406593057765</v>
      </c>
      <c r="AO53" s="14">
        <v>0.52286927942446981</v>
      </c>
      <c r="AP53" s="52">
        <v>9.7956302758495949E-5</v>
      </c>
    </row>
    <row r="54" spans="1:42" x14ac:dyDescent="0.25">
      <c r="B54" s="12" t="str">
        <f t="shared" ref="B54:B72" si="12">B31</f>
        <v>201003</v>
      </c>
      <c r="C54" s="34"/>
      <c r="D54" s="34">
        <f ca="1">sme_lower!D28-sme_lower!C28</f>
        <v>0</v>
      </c>
      <c r="E54" s="34">
        <f t="shared" ref="E54:E73" ca="1" si="13">D54-C54</f>
        <v>0</v>
      </c>
      <c r="F54" s="34">
        <f ca="1">sme_lower!D28</f>
        <v>24096.955709999998</v>
      </c>
      <c r="G54" s="14">
        <v>1</v>
      </c>
      <c r="H54" s="42">
        <f t="array" aca="1" ref="H54" ca="1">SUM($F$54:$F$73*$O$31^ABS(A31-$A$31:$A$50))/SUM($C$31:$C$50*$G$54:$G$73*$O$31^ABS(A31-$A$31:$A$50))</f>
        <v>0.49795652864262424</v>
      </c>
      <c r="I54" s="43">
        <f t="shared" ref="I54:I73" ca="1" si="14">(1-G54)*H54*C31</f>
        <v>0</v>
      </c>
      <c r="J54" s="43">
        <f t="shared" ref="J54:J73" ca="1" si="15">I54+F54</f>
        <v>24096.955709999998</v>
      </c>
      <c r="K54" s="14">
        <f t="shared" ref="K54:K74" ca="1" si="16">J54/C31</f>
        <v>0.46929932154869175</v>
      </c>
      <c r="L54" s="43">
        <f t="shared" ref="L54:L73" ca="1" si="17">K31-J54</f>
        <v>0</v>
      </c>
      <c r="M54" s="43">
        <f t="shared" ref="M54:M73" ca="1" si="18">(1-G54)*I31*C31</f>
        <v>0</v>
      </c>
      <c r="N54" s="43">
        <f t="shared" ref="N54:N73" ca="1" si="19">I54-M54</f>
        <v>0</v>
      </c>
      <c r="O54" s="43">
        <f t="shared" ref="O54:O73" ca="1" si="20">-(N54+E54)</f>
        <v>0</v>
      </c>
      <c r="S54" s="49">
        <f t="shared" si="11"/>
        <v>0.75000000000000011</v>
      </c>
      <c r="T54" s="53">
        <v>-400.85551464819446</v>
      </c>
      <c r="U54" s="53">
        <v>374.29629644374768</v>
      </c>
      <c r="V54" s="14">
        <v>0.43679655883593321</v>
      </c>
      <c r="W54" s="14">
        <v>0.43309878164113685</v>
      </c>
      <c r="X54" s="14">
        <v>0.43181820995411785</v>
      </c>
      <c r="Y54" s="14">
        <v>0.44124563253992771</v>
      </c>
      <c r="Z54" s="14">
        <v>0.45049161701777812</v>
      </c>
      <c r="AA54" s="14">
        <v>0.4580688279210503</v>
      </c>
      <c r="AB54" s="14">
        <v>0.47147997840683242</v>
      </c>
      <c r="AC54" s="14">
        <v>0.48647209924763579</v>
      </c>
      <c r="AD54" s="14">
        <v>0.49590301209346627</v>
      </c>
      <c r="AE54" s="14">
        <v>0.50533119913825852</v>
      </c>
      <c r="AF54" s="14">
        <v>0.52019891047221445</v>
      </c>
      <c r="AG54" s="14">
        <v>0.5334307822000357</v>
      </c>
      <c r="AH54" s="14">
        <v>0.53370285950697416</v>
      </c>
      <c r="AI54" s="14">
        <v>0.52702784821182502</v>
      </c>
      <c r="AJ54" s="14">
        <v>0.5307903186339249</v>
      </c>
      <c r="AK54" s="14">
        <v>0.54440819373548743</v>
      </c>
      <c r="AL54" s="14">
        <v>0.54282311126202276</v>
      </c>
      <c r="AM54" s="14">
        <v>0.5379830656275626</v>
      </c>
      <c r="AN54" s="14">
        <v>0.52986147085686175</v>
      </c>
      <c r="AO54" s="14">
        <v>0.52517413888587638</v>
      </c>
      <c r="AP54" s="52">
        <v>6.7902826805122659E-5</v>
      </c>
    </row>
    <row r="55" spans="1:42" x14ac:dyDescent="0.25">
      <c r="B55" s="12" t="str">
        <f t="shared" si="12"/>
        <v>201006</v>
      </c>
      <c r="C55" s="34">
        <f t="shared" ref="C55:C73" ca="1" si="21">C32*I32*(E31-E32)</f>
        <v>0</v>
      </c>
      <c r="D55" s="34">
        <f ca="1">sme_lower!D29-sme_lower!C29</f>
        <v>0</v>
      </c>
      <c r="E55" s="34">
        <f t="shared" ca="1" si="13"/>
        <v>0</v>
      </c>
      <c r="F55" s="34">
        <f ca="1">sme_lower!D29</f>
        <v>22592.40107</v>
      </c>
      <c r="G55" s="14">
        <f t="shared" ref="G55:G73" ca="1" si="22">E31</f>
        <v>1</v>
      </c>
      <c r="H55" s="42">
        <f t="array" aca="1" ref="H55" ca="1">SUM($F$54:$F$73*$O$31^ABS(A32-$A$31:$A$50))/SUM($C$31:$C$50*$G$54:$G$73*$O$31^ABS(A32-$A$31:$A$50))</f>
        <v>0.49795652864262424</v>
      </c>
      <c r="I55" s="43">
        <f t="shared" ca="1" si="14"/>
        <v>0</v>
      </c>
      <c r="J55" s="43">
        <f t="shared" ca="1" si="15"/>
        <v>22592.40107</v>
      </c>
      <c r="K55" s="14">
        <f t="shared" ca="1" si="16"/>
        <v>0.41933079352553709</v>
      </c>
      <c r="L55" s="43">
        <f t="shared" ca="1" si="17"/>
        <v>0</v>
      </c>
      <c r="M55" s="43">
        <f t="shared" ca="1" si="18"/>
        <v>0</v>
      </c>
      <c r="N55" s="43">
        <f t="shared" ca="1" si="19"/>
        <v>0</v>
      </c>
      <c r="O55" s="43">
        <f t="shared" ca="1" si="20"/>
        <v>0</v>
      </c>
      <c r="S55" s="49">
        <f t="shared" si="11"/>
        <v>0.80000000000000016</v>
      </c>
      <c r="T55" s="53">
        <v>-389.65876856420687</v>
      </c>
      <c r="U55" s="53">
        <v>368.8253359210637</v>
      </c>
      <c r="V55" s="14">
        <v>0.44439157271721269</v>
      </c>
      <c r="W55" s="14">
        <v>0.44260765312590455</v>
      </c>
      <c r="X55" s="14">
        <v>0.44280444773621391</v>
      </c>
      <c r="Y55" s="14">
        <v>0.45032926093997239</v>
      </c>
      <c r="Z55" s="14">
        <v>0.45808665929907155</v>
      </c>
      <c r="AA55" s="14">
        <v>0.46501186602606065</v>
      </c>
      <c r="AB55" s="14">
        <v>0.47584092868951389</v>
      </c>
      <c r="AC55" s="14">
        <v>0.48773769862390726</v>
      </c>
      <c r="AD55" s="14">
        <v>0.49603744375854253</v>
      </c>
      <c r="AE55" s="14">
        <v>0.5042505634489336</v>
      </c>
      <c r="AF55" s="14">
        <v>0.51580013137091496</v>
      </c>
      <c r="AG55" s="14">
        <v>0.52606445890207432</v>
      </c>
      <c r="AH55" s="14">
        <v>0.52770117477308898</v>
      </c>
      <c r="AI55" s="14">
        <v>0.52456187573545954</v>
      </c>
      <c r="AJ55" s="14">
        <v>0.52798051540714508</v>
      </c>
      <c r="AK55" s="14">
        <v>0.53766437819402813</v>
      </c>
      <c r="AL55" s="14">
        <v>0.53719240643022692</v>
      </c>
      <c r="AM55" s="14">
        <v>0.53426089983106495</v>
      </c>
      <c r="AN55" s="14">
        <v>0.52895521434919512</v>
      </c>
      <c r="AO55" s="14">
        <v>0.52586871299351068</v>
      </c>
      <c r="AP55" s="52">
        <v>4.2147177786756645E-5</v>
      </c>
    </row>
    <row r="56" spans="1:42" x14ac:dyDescent="0.25">
      <c r="B56" s="12" t="str">
        <f t="shared" si="12"/>
        <v>201009</v>
      </c>
      <c r="C56" s="34">
        <f t="shared" ca="1" si="21"/>
        <v>0</v>
      </c>
      <c r="D56" s="34">
        <f ca="1">sme_lower!D30-sme_lower!C30</f>
        <v>0</v>
      </c>
      <c r="E56" s="34">
        <f t="shared" ca="1" si="13"/>
        <v>0</v>
      </c>
      <c r="F56" s="34">
        <f ca="1">sme_lower!D30</f>
        <v>17754.29048</v>
      </c>
      <c r="G56" s="14">
        <f t="shared" ca="1" si="22"/>
        <v>1</v>
      </c>
      <c r="H56" s="42">
        <f t="array" aca="1" ref="H56" ca="1">SUM($F$54:$F$73*$O$31^ABS(A33-$A$31:$A$50))/SUM($C$31:$C$50*$G$54:$G$73*$O$31^ABS(A33-$A$31:$A$50))</f>
        <v>0.49795652864262424</v>
      </c>
      <c r="I56" s="43">
        <f t="shared" ca="1" si="14"/>
        <v>0</v>
      </c>
      <c r="J56" s="43">
        <f t="shared" ca="1" si="15"/>
        <v>17754.29048</v>
      </c>
      <c r="K56" s="14">
        <f t="shared" ca="1" si="16"/>
        <v>0.3253066148228973</v>
      </c>
      <c r="L56" s="43">
        <f t="shared" ca="1" si="17"/>
        <v>0</v>
      </c>
      <c r="M56" s="43">
        <f t="shared" ca="1" si="18"/>
        <v>0</v>
      </c>
      <c r="N56" s="43">
        <f t="shared" ca="1" si="19"/>
        <v>0</v>
      </c>
      <c r="O56" s="43">
        <f t="shared" ca="1" si="20"/>
        <v>0</v>
      </c>
      <c r="S56" s="49">
        <f t="shared" si="11"/>
        <v>0.8500000000000002</v>
      </c>
      <c r="T56" s="53">
        <v>-323.3000058894163</v>
      </c>
      <c r="U56" s="53">
        <v>309.1974160363618</v>
      </c>
      <c r="V56" s="14">
        <v>0.45531902420562054</v>
      </c>
      <c r="W56" s="14">
        <v>0.45475147035887725</v>
      </c>
      <c r="X56" s="14">
        <v>0.45566729518259014</v>
      </c>
      <c r="Y56" s="14">
        <v>0.46118860214052032</v>
      </c>
      <c r="Z56" s="14">
        <v>0.46713413808668924</v>
      </c>
      <c r="AA56" s="14">
        <v>0.47278601512515045</v>
      </c>
      <c r="AB56" s="14">
        <v>0.48086641498365762</v>
      </c>
      <c r="AC56" s="14">
        <v>0.48963959564878423</v>
      </c>
      <c r="AD56" s="14">
        <v>0.49628620352085501</v>
      </c>
      <c r="AE56" s="14">
        <v>0.5028353141978622</v>
      </c>
      <c r="AF56" s="14">
        <v>0.5112724168117383</v>
      </c>
      <c r="AG56" s="14">
        <v>0.51881011848479064</v>
      </c>
      <c r="AH56" s="14">
        <v>0.52104351946333849</v>
      </c>
      <c r="AI56" s="14">
        <v>0.52024481829162972</v>
      </c>
      <c r="AJ56" s="14">
        <v>0.52321436622451467</v>
      </c>
      <c r="AK56" s="14">
        <v>0.52979575146476343</v>
      </c>
      <c r="AL56" s="14">
        <v>0.53010058197484278</v>
      </c>
      <c r="AM56" s="14">
        <v>0.52871195143107119</v>
      </c>
      <c r="AN56" s="14">
        <v>0.52574824114983099</v>
      </c>
      <c r="AO56" s="14">
        <v>0.52403185989187073</v>
      </c>
      <c r="AP56" s="52">
        <v>2.2830722010442908E-5</v>
      </c>
    </row>
    <row r="57" spans="1:42" x14ac:dyDescent="0.25">
      <c r="B57" s="12" t="str">
        <f t="shared" si="12"/>
        <v>201012</v>
      </c>
      <c r="C57" s="34">
        <f t="shared" ca="1" si="21"/>
        <v>0</v>
      </c>
      <c r="D57" s="34">
        <f ca="1">sme_lower!D31-sme_lower!C31</f>
        <v>0</v>
      </c>
      <c r="E57" s="34">
        <f t="shared" ca="1" si="13"/>
        <v>0</v>
      </c>
      <c r="F57" s="34">
        <f ca="1">sme_lower!D31</f>
        <v>23829.94857</v>
      </c>
      <c r="G57" s="14">
        <f t="shared" ca="1" si="22"/>
        <v>1</v>
      </c>
      <c r="H57" s="42">
        <f t="array" aca="1" ref="H57" ca="1">SUM($F$54:$F$73*$O$31^ABS(A34-$A$31:$A$50))/SUM($C$31:$C$50*$G$54:$G$73*$O$31^ABS(A34-$A$31:$A$50))</f>
        <v>0.49795652864262413</v>
      </c>
      <c r="I57" s="43">
        <f t="shared" ca="1" si="14"/>
        <v>0</v>
      </c>
      <c r="J57" s="43">
        <f t="shared" ca="1" si="15"/>
        <v>23829.94857</v>
      </c>
      <c r="K57" s="14">
        <f t="shared" ca="1" si="16"/>
        <v>0.42915590297111744</v>
      </c>
      <c r="L57" s="43">
        <f t="shared" ca="1" si="17"/>
        <v>0</v>
      </c>
      <c r="M57" s="43">
        <f t="shared" ca="1" si="18"/>
        <v>0</v>
      </c>
      <c r="N57" s="43">
        <f t="shared" ca="1" si="19"/>
        <v>0</v>
      </c>
      <c r="O57" s="43">
        <f t="shared" ca="1" si="20"/>
        <v>0</v>
      </c>
      <c r="S57" s="49">
        <f t="shared" si="11"/>
        <v>0.90000000000000024</v>
      </c>
      <c r="T57" s="53">
        <v>-185.62500001979652</v>
      </c>
      <c r="U57" s="53">
        <v>178.54603763290493</v>
      </c>
      <c r="V57" s="14">
        <v>0.46901658008502412</v>
      </c>
      <c r="W57" s="14">
        <v>0.46901108676908293</v>
      </c>
      <c r="X57" s="14">
        <v>0.46995007379578485</v>
      </c>
      <c r="Y57" s="14">
        <v>0.47340076891067917</v>
      </c>
      <c r="Z57" s="14">
        <v>0.47728137437208196</v>
      </c>
      <c r="AA57" s="14">
        <v>0.48116996559348857</v>
      </c>
      <c r="AB57" s="14">
        <v>0.48641125557575698</v>
      </c>
      <c r="AC57" s="14">
        <v>0.49208326774245748</v>
      </c>
      <c r="AD57" s="14">
        <v>0.49668684474835734</v>
      </c>
      <c r="AE57" s="14">
        <v>0.50123197335927716</v>
      </c>
      <c r="AF57" s="14">
        <v>0.50672116006703316</v>
      </c>
      <c r="AG57" s="14">
        <v>0.51167529092151653</v>
      </c>
      <c r="AH57" s="14">
        <v>0.51377151249270314</v>
      </c>
      <c r="AI57" s="14">
        <v>0.51418288480793084</v>
      </c>
      <c r="AJ57" s="14">
        <v>0.51646354922247151</v>
      </c>
      <c r="AK57" s="14">
        <v>0.52051200461805824</v>
      </c>
      <c r="AL57" s="14">
        <v>0.52116160913146081</v>
      </c>
      <c r="AM57" s="14">
        <v>0.52079986927958932</v>
      </c>
      <c r="AN57" s="14">
        <v>0.51952679295012938</v>
      </c>
      <c r="AO57" s="14">
        <v>0.51880132775107868</v>
      </c>
      <c r="AP57" s="52">
        <v>1.0788824956623078E-5</v>
      </c>
    </row>
    <row r="58" spans="1:42" x14ac:dyDescent="0.25">
      <c r="B58" s="12" t="str">
        <f t="shared" si="12"/>
        <v>201103</v>
      </c>
      <c r="C58" s="34">
        <f t="shared" ca="1" si="21"/>
        <v>-5.5435705683590806</v>
      </c>
      <c r="D58" s="34">
        <f ca="1">sme_lower!D32-sme_lower!C32</f>
        <v>0</v>
      </c>
      <c r="E58" s="34">
        <f t="shared" ca="1" si="13"/>
        <v>5.5435705683590806</v>
      </c>
      <c r="F58" s="34">
        <f ca="1">sme_lower!D32</f>
        <v>26000.573810000002</v>
      </c>
      <c r="G58" s="14">
        <f t="shared" ca="1" si="22"/>
        <v>1</v>
      </c>
      <c r="H58" s="42">
        <f t="array" aca="1" ref="H58" ca="1">SUM($F$54:$F$73*$O$31^ABS(A35-$A$31:$A$50))/SUM($C$31:$C$50*$G$54:$G$73*$O$31^ABS(A35-$A$31:$A$50))</f>
        <v>0.49795652864262402</v>
      </c>
      <c r="I58" s="43">
        <f t="shared" ca="1" si="14"/>
        <v>0</v>
      </c>
      <c r="J58" s="43">
        <f t="shared" ca="1" si="15"/>
        <v>26000.573810000002</v>
      </c>
      <c r="K58" s="14">
        <f t="shared" ca="1" si="16"/>
        <v>0.45801771246149808</v>
      </c>
      <c r="L58" s="43">
        <f t="shared" ca="1" si="17"/>
        <v>-5.5435705683594279</v>
      </c>
      <c r="M58" s="43">
        <f t="shared" ca="1" si="18"/>
        <v>0</v>
      </c>
      <c r="N58" s="43">
        <f t="shared" ca="1" si="19"/>
        <v>0</v>
      </c>
      <c r="O58" s="43">
        <f t="shared" ca="1" si="20"/>
        <v>-5.5435705683590806</v>
      </c>
      <c r="S58" s="49">
        <f>S57+5%</f>
        <v>0.95000000000000029</v>
      </c>
      <c r="T58" s="53">
        <v>26.611344559932604</v>
      </c>
      <c r="U58" s="53">
        <v>-27.458042603739386</v>
      </c>
      <c r="V58" s="14">
        <v>0.48393050680862626</v>
      </c>
      <c r="W58" s="14">
        <v>0.4840266653289369</v>
      </c>
      <c r="X58" s="14">
        <v>0.48454432032759354</v>
      </c>
      <c r="Y58" s="14">
        <v>0.4860610056025077</v>
      </c>
      <c r="Z58" s="14">
        <v>0.48785265739434336</v>
      </c>
      <c r="AA58" s="14">
        <v>0.48974466861928323</v>
      </c>
      <c r="AB58" s="14">
        <v>0.49221932002210156</v>
      </c>
      <c r="AC58" s="14">
        <v>0.49491903045882146</v>
      </c>
      <c r="AD58" s="14">
        <v>0.49724957982731299</v>
      </c>
      <c r="AE58" s="14">
        <v>0.49957113011871307</v>
      </c>
      <c r="AF58" s="14">
        <v>0.50225130478251911</v>
      </c>
      <c r="AG58" s="14">
        <v>0.50470184391620332</v>
      </c>
      <c r="AH58" s="14">
        <v>0.50601000581204414</v>
      </c>
      <c r="AI58" s="14">
        <v>0.50662263910050254</v>
      </c>
      <c r="AJ58" s="14">
        <v>0.50790192920109611</v>
      </c>
      <c r="AK58" s="14">
        <v>0.50978478780147851</v>
      </c>
      <c r="AL58" s="14">
        <v>0.51030322738473288</v>
      </c>
      <c r="AM58" s="14">
        <v>0.51037465977174035</v>
      </c>
      <c r="AN58" s="14">
        <v>0.51005459652346019</v>
      </c>
      <c r="AO58" s="14">
        <v>0.50987605148219928</v>
      </c>
      <c r="AP58" s="52">
        <v>4.3756405261969918E-6</v>
      </c>
    </row>
    <row r="59" spans="1:42" x14ac:dyDescent="0.25">
      <c r="B59" s="12" t="str">
        <f t="shared" si="12"/>
        <v>201106</v>
      </c>
      <c r="C59" s="34">
        <f t="shared" ca="1" si="21"/>
        <v>-22.272106083481102</v>
      </c>
      <c r="D59" s="34">
        <f ca="1">sme_lower!D33-sme_lower!C33</f>
        <v>0</v>
      </c>
      <c r="E59" s="34">
        <f t="shared" ca="1" si="13"/>
        <v>22.272106083481102</v>
      </c>
      <c r="F59" s="34">
        <f ca="1">sme_lower!D33</f>
        <v>22062.420119999999</v>
      </c>
      <c r="G59" s="14">
        <f t="shared" ca="1" si="22"/>
        <v>1.0001962039705887</v>
      </c>
      <c r="H59" s="42">
        <f t="array" aca="1" ref="H59" ca="1">SUM($F$54:$F$73*$O$31^ABS(A36-$A$31:$A$50))/SUM($C$31:$C$50*$G$54:$G$73*$O$31^ABS(A36-$A$31:$A$50))</f>
        <v>0.49795652864262424</v>
      </c>
      <c r="I59" s="43">
        <f t="shared" ca="1" si="14"/>
        <v>-5.5927720674216337</v>
      </c>
      <c r="J59" s="43">
        <f t="shared" ca="1" si="15"/>
        <v>22056.827347932576</v>
      </c>
      <c r="K59" s="14">
        <f t="shared" ca="1" si="16"/>
        <v>0.38531431706513486</v>
      </c>
      <c r="L59" s="43">
        <f t="shared" ca="1" si="17"/>
        <v>-22.269398510889005</v>
      </c>
      <c r="M59" s="43">
        <f t="shared" ca="1" si="18"/>
        <v>-5.5900644948300968</v>
      </c>
      <c r="N59" s="43">
        <f t="shared" ca="1" si="19"/>
        <v>-2.7075725915368665E-3</v>
      </c>
      <c r="O59" s="43">
        <f t="shared" ca="1" si="20"/>
        <v>-22.269398510889566</v>
      </c>
      <c r="S59" s="49">
        <f t="shared" si="11"/>
        <v>1.0000000000000002</v>
      </c>
      <c r="T59" s="53">
        <v>295.77499402392277</v>
      </c>
      <c r="U59" s="53">
        <v>-292.18001535316307</v>
      </c>
      <c r="V59" s="14">
        <v>0.49795652864262424</v>
      </c>
      <c r="W59" s="14">
        <v>0.49795652864262424</v>
      </c>
      <c r="X59" s="14">
        <v>0.49795652864262424</v>
      </c>
      <c r="Y59" s="14">
        <v>0.49795652864262413</v>
      </c>
      <c r="Z59" s="14">
        <v>0.49795652864262402</v>
      </c>
      <c r="AA59" s="14">
        <v>0.49795652864262424</v>
      </c>
      <c r="AB59" s="14">
        <v>0.49795652864262413</v>
      </c>
      <c r="AC59" s="14">
        <v>0.49795652864262413</v>
      </c>
      <c r="AD59" s="14">
        <v>0.49795652864262413</v>
      </c>
      <c r="AE59" s="14">
        <v>0.49795652864262413</v>
      </c>
      <c r="AF59" s="14">
        <v>0.49795652864262424</v>
      </c>
      <c r="AG59" s="14">
        <v>0.49795652864262424</v>
      </c>
      <c r="AH59" s="14">
        <v>0.49795652864262424</v>
      </c>
      <c r="AI59" s="14">
        <v>0.49795652864262402</v>
      </c>
      <c r="AJ59" s="14">
        <v>0.49795652864262424</v>
      </c>
      <c r="AK59" s="14">
        <v>0.49795652864262402</v>
      </c>
      <c r="AL59" s="14">
        <v>0.49795652864262402</v>
      </c>
      <c r="AM59" s="14">
        <v>0.49795652864262413</v>
      </c>
      <c r="AN59" s="14">
        <v>0.49795652864262391</v>
      </c>
      <c r="AO59" s="14">
        <v>0.49795652864262413</v>
      </c>
      <c r="AP59" s="52">
        <v>1.1623015988229348E-6</v>
      </c>
    </row>
    <row r="60" spans="1:42" x14ac:dyDescent="0.25">
      <c r="B60" s="12" t="str">
        <f t="shared" si="12"/>
        <v>201109</v>
      </c>
      <c r="C60" s="34">
        <f t="shared" ca="1" si="21"/>
        <v>-18.270399955770468</v>
      </c>
      <c r="D60" s="34">
        <f ca="1">sme_lower!D34-sme_lower!C34</f>
        <v>0</v>
      </c>
      <c r="E60" s="34">
        <f t="shared" ca="1" si="13"/>
        <v>18.270399955770468</v>
      </c>
      <c r="F60" s="34">
        <f ca="1">sme_lower!D34</f>
        <v>25940.097430000002</v>
      </c>
      <c r="G60" s="14">
        <f t="shared" ca="1" si="22"/>
        <v>1.0009779258364087</v>
      </c>
      <c r="H60" s="42">
        <f t="array" aca="1" ref="H60" ca="1">SUM($F$54:$F$73*$O$31^ABS(A37-$A$31:$A$50))/SUM($C$31:$C$50*$G$54:$G$73*$O$31^ABS(A37-$A$31:$A$50))</f>
        <v>0.49795652864262413</v>
      </c>
      <c r="I60" s="43">
        <f t="shared" ca="1" si="14"/>
        <v>-28.441226378413745</v>
      </c>
      <c r="J60" s="43">
        <f t="shared" ca="1" si="15"/>
        <v>25911.656203621587</v>
      </c>
      <c r="K60" s="14">
        <f t="shared" ca="1" si="16"/>
        <v>0.44365379884162104</v>
      </c>
      <c r="L60" s="43">
        <f t="shared" ca="1" si="17"/>
        <v>-18.25663099038502</v>
      </c>
      <c r="M60" s="43">
        <f t="shared" ca="1" si="18"/>
        <v>-28.427457413027081</v>
      </c>
      <c r="N60" s="43">
        <f t="shared" ca="1" si="19"/>
        <v>-1.3768965386663723E-2</v>
      </c>
      <c r="O60" s="43">
        <f t="shared" ca="1" si="20"/>
        <v>-18.256630990383805</v>
      </c>
    </row>
    <row r="61" spans="1:42" x14ac:dyDescent="0.25">
      <c r="B61" s="12" t="str">
        <f t="shared" si="12"/>
        <v>201112</v>
      </c>
      <c r="C61" s="34">
        <f t="shared" ca="1" si="21"/>
        <v>-26.748997280915287</v>
      </c>
      <c r="D61" s="34">
        <f ca="1">sme_lower!D35-sme_lower!C35</f>
        <v>-10.20198000000164</v>
      </c>
      <c r="E61" s="34">
        <f t="shared" ca="1" si="13"/>
        <v>16.547017280913646</v>
      </c>
      <c r="F61" s="34">
        <f ca="1">sme_lower!D35</f>
        <v>32463.954549999999</v>
      </c>
      <c r="G61" s="14">
        <f t="shared" ca="1" si="22"/>
        <v>1.001606441285352</v>
      </c>
      <c r="H61" s="42">
        <f t="array" aca="1" ref="H61" ca="1">SUM($F$54:$F$73*$O$31^ABS(A38-$A$31:$A$50))/SUM($C$31:$C$50*$G$54:$G$73*$O$31^ABS(A38-$A$31:$A$50))</f>
        <v>0.49795652864262413</v>
      </c>
      <c r="I61" s="43">
        <f t="shared" ca="1" si="14"/>
        <v>-47.925558170896963</v>
      </c>
      <c r="J61" s="43">
        <f t="shared" ca="1" si="15"/>
        <v>32416.028991829102</v>
      </c>
      <c r="K61" s="14">
        <f t="shared" ca="1" si="16"/>
        <v>0.5410643503803958</v>
      </c>
      <c r="L61" s="43">
        <f t="shared" ca="1" si="17"/>
        <v>-16.523815561591618</v>
      </c>
      <c r="M61" s="43">
        <f t="shared" ca="1" si="18"/>
        <v>-47.902356451575457</v>
      </c>
      <c r="N61" s="43">
        <f t="shared" ca="1" si="19"/>
        <v>-2.320171932150572E-2</v>
      </c>
      <c r="O61" s="43">
        <f t="shared" ca="1" si="20"/>
        <v>-16.523815561592141</v>
      </c>
    </row>
    <row r="62" spans="1:42" x14ac:dyDescent="0.25">
      <c r="B62" s="12" t="str">
        <f t="shared" si="12"/>
        <v>201203</v>
      </c>
      <c r="C62" s="34">
        <f t="shared" ca="1" si="21"/>
        <v>-60.706773022307466</v>
      </c>
      <c r="D62" s="34">
        <f ca="1">sme_lower!D36-sme_lower!C36</f>
        <v>10.391779999998107</v>
      </c>
      <c r="E62" s="34">
        <f t="shared" ca="1" si="13"/>
        <v>71.098553022305566</v>
      </c>
      <c r="F62" s="34">
        <f ca="1">sme_lower!D36</f>
        <v>29765.697189999999</v>
      </c>
      <c r="G62" s="14">
        <f t="shared" ca="1" si="22"/>
        <v>1.0025034888787678</v>
      </c>
      <c r="H62" s="42">
        <f t="array" aca="1" ref="H62" ca="1">SUM($F$54:$F$73*$O$31^ABS(A39-$A$31:$A$50))/SUM($C$31:$C$50*$G$54:$G$73*$O$31^ABS(A39-$A$31:$A$50))</f>
        <v>0.49795652864262413</v>
      </c>
      <c r="I62" s="43">
        <f t="shared" ca="1" si="14"/>
        <v>-75.220943839018858</v>
      </c>
      <c r="J62" s="43">
        <f t="shared" ca="1" si="15"/>
        <v>29690.476246160979</v>
      </c>
      <c r="K62" s="14">
        <f t="shared" ca="1" si="16"/>
        <v>0.4920570772486661</v>
      </c>
      <c r="L62" s="43">
        <f t="shared" ca="1" si="17"/>
        <v>-71.062137061955582</v>
      </c>
      <c r="M62" s="43">
        <f t="shared" ca="1" si="18"/>
        <v>-75.184527878669911</v>
      </c>
      <c r="N62" s="43">
        <f t="shared" ca="1" si="19"/>
        <v>-3.6415960348946896E-2</v>
      </c>
      <c r="O62" s="43">
        <f t="shared" ca="1" si="20"/>
        <v>-71.062137061956619</v>
      </c>
    </row>
    <row r="63" spans="1:42" x14ac:dyDescent="0.25">
      <c r="B63" s="12" t="str">
        <f t="shared" si="12"/>
        <v>201206</v>
      </c>
      <c r="C63" s="34">
        <f t="shared" ca="1" si="21"/>
        <v>6.8417782559484923</v>
      </c>
      <c r="D63" s="34">
        <f ca="1">sme_lower!D37-sme_lower!C37</f>
        <v>0.21352999999726308</v>
      </c>
      <c r="E63" s="34">
        <f t="shared" ca="1" si="13"/>
        <v>-6.6282482559512292</v>
      </c>
      <c r="F63" s="34">
        <f ca="1">sme_lower!D37</f>
        <v>27184.003369999999</v>
      </c>
      <c r="G63" s="14">
        <f t="shared" ca="1" si="22"/>
        <v>1.0045248985413049</v>
      </c>
      <c r="H63" s="42">
        <f t="array" aca="1" ref="H63" ca="1">SUM($F$54:$F$73*$O$31^ABS(A40-$A$31:$A$50))/SUM($C$31:$C$50*$G$54:$G$73*$O$31^ABS(A40-$A$31:$A$50))</f>
        <v>0.49795652864262413</v>
      </c>
      <c r="I63" s="43">
        <f t="shared" ca="1" si="14"/>
        <v>-138.14047394095792</v>
      </c>
      <c r="J63" s="43">
        <f t="shared" ca="1" si="15"/>
        <v>27045.862896059039</v>
      </c>
      <c r="K63" s="14">
        <f t="shared" ca="1" si="16"/>
        <v>0.4411437970226848</v>
      </c>
      <c r="L63" s="43">
        <f t="shared" ca="1" si="17"/>
        <v>6.6951248167206359</v>
      </c>
      <c r="M63" s="43">
        <f t="shared" ca="1" si="18"/>
        <v>-138.07359738019065</v>
      </c>
      <c r="N63" s="43">
        <f t="shared" ca="1" si="19"/>
        <v>-6.6876560767269666E-2</v>
      </c>
      <c r="O63" s="43">
        <f t="shared" ca="1" si="20"/>
        <v>6.6951248167184989</v>
      </c>
    </row>
    <row r="64" spans="1:42" x14ac:dyDescent="0.25">
      <c r="B64" s="12" t="str">
        <f t="shared" si="12"/>
        <v>201209</v>
      </c>
      <c r="C64" s="34">
        <f t="shared" ca="1" si="21"/>
        <v>-57.49184233453721</v>
      </c>
      <c r="D64" s="34">
        <f ca="1">sme_lower!D38-sme_lower!C38</f>
        <v>197.72857999999906</v>
      </c>
      <c r="E64" s="34">
        <f t="shared" ca="1" si="13"/>
        <v>255.22042233453627</v>
      </c>
      <c r="F64" s="34">
        <f ca="1">sme_lower!D38</f>
        <v>32479.803199999998</v>
      </c>
      <c r="G64" s="14">
        <f t="shared" ca="1" si="22"/>
        <v>1.0043006822317593</v>
      </c>
      <c r="H64" s="42">
        <f t="array" aca="1" ref="H64" ca="1">SUM($F$54:$F$73*$O$31^ABS(A41-$A$31:$A$50))/SUM($C$31:$C$50*$G$54:$G$73*$O$31^ABS(A41-$A$31:$A$50))</f>
        <v>0.49795652864262424</v>
      </c>
      <c r="I64" s="43">
        <f t="shared" ca="1" si="14"/>
        <v>-129.05491072077325</v>
      </c>
      <c r="J64" s="43">
        <f t="shared" ca="1" si="15"/>
        <v>32350.748289279225</v>
      </c>
      <c r="K64" s="14">
        <f t="shared" ca="1" si="16"/>
        <v>0.53683222924091245</v>
      </c>
      <c r="L64" s="43">
        <f t="shared" ca="1" si="17"/>
        <v>-255.15794427627407</v>
      </c>
      <c r="M64" s="43">
        <f t="shared" ca="1" si="18"/>
        <v>-128.99243266251187</v>
      </c>
      <c r="N64" s="43">
        <f t="shared" ca="1" si="19"/>
        <v>-6.2478058261376646E-2</v>
      </c>
      <c r="O64" s="43">
        <f t="shared" ca="1" si="20"/>
        <v>-255.15794427627489</v>
      </c>
    </row>
    <row r="65" spans="2:40" x14ac:dyDescent="0.25">
      <c r="B65" s="12" t="str">
        <f t="shared" si="12"/>
        <v>201212</v>
      </c>
      <c r="C65" s="34">
        <f t="shared" ca="1" si="21"/>
        <v>-17.96430642373609</v>
      </c>
      <c r="D65" s="34">
        <f ca="1">sme_lower!D39-sme_lower!C39</f>
        <v>82.18525000000227</v>
      </c>
      <c r="E65" s="34">
        <f t="shared" ca="1" si="13"/>
        <v>100.14955642373836</v>
      </c>
      <c r="F65" s="34">
        <f ca="1">sme_lower!D39</f>
        <v>41486.039069999999</v>
      </c>
      <c r="G65" s="14">
        <f t="shared" ca="1" si="22"/>
        <v>1.0062174934717345</v>
      </c>
      <c r="H65" s="42">
        <f t="array" aca="1" ref="H65" ca="1">SUM($F$54:$F$73*$O$31^ABS(A42-$A$31:$A$50))/SUM($C$31:$C$50*$G$54:$G$73*$O$31^ABS(A42-$A$31:$A$50))</f>
        <v>0.49795652864262424</v>
      </c>
      <c r="I65" s="43">
        <f t="shared" ca="1" si="14"/>
        <v>-187.35028171365681</v>
      </c>
      <c r="J65" s="43">
        <f t="shared" ca="1" si="15"/>
        <v>41298.688788286345</v>
      </c>
      <c r="K65" s="14">
        <f t="shared" ca="1" si="16"/>
        <v>0.68247803959625941</v>
      </c>
      <c r="L65" s="43">
        <f t="shared" ca="1" si="17"/>
        <v>-100.05885641278292</v>
      </c>
      <c r="M65" s="43">
        <f t="shared" ca="1" si="18"/>
        <v>-187.25958170270175</v>
      </c>
      <c r="N65" s="43">
        <f t="shared" ca="1" si="19"/>
        <v>-9.0700010955060861E-2</v>
      </c>
      <c r="O65" s="43">
        <f t="shared" ca="1" si="20"/>
        <v>-100.0588564127833</v>
      </c>
      <c r="AL65" s="51" t="s">
        <v>46</v>
      </c>
      <c r="AM65" s="51" t="s">
        <v>52</v>
      </c>
      <c r="AN65" s="50" t="s">
        <v>57</v>
      </c>
    </row>
    <row r="66" spans="2:40" x14ac:dyDescent="0.25">
      <c r="B66" s="12" t="str">
        <f t="shared" si="12"/>
        <v>201303</v>
      </c>
      <c r="C66" s="34">
        <f t="shared" ca="1" si="21"/>
        <v>-81.738448206100188</v>
      </c>
      <c r="D66" s="34">
        <f ca="1">sme_lower!D40-sme_lower!C40</f>
        <v>1.9929400000037276</v>
      </c>
      <c r="E66" s="34">
        <f t="shared" ca="1" si="13"/>
        <v>83.731388206103915</v>
      </c>
      <c r="F66" s="34">
        <f ca="1">sme_lower!D40</f>
        <v>38508.081400000003</v>
      </c>
      <c r="G66" s="14">
        <f t="shared" ca="1" si="22"/>
        <v>1.006813954047467</v>
      </c>
      <c r="H66" s="42">
        <f t="array" aca="1" ref="H66" ca="1">SUM($F$54:$F$73*$O$31^ABS(A43-$A$31:$A$50))/SUM($C$31:$C$50*$G$54:$G$73*$O$31^ABS(A43-$A$31:$A$50))</f>
        <v>0.49795652864262424</v>
      </c>
      <c r="I66" s="43">
        <f t="shared" ca="1" si="14"/>
        <v>-212.63637008318298</v>
      </c>
      <c r="J66" s="43">
        <f t="shared" ca="1" si="15"/>
        <v>38295.445029916817</v>
      </c>
      <c r="K66" s="14">
        <f t="shared" ca="1" si="16"/>
        <v>0.6110830001025207</v>
      </c>
      <c r="L66" s="43">
        <f t="shared" ca="1" si="17"/>
        <v>-83.628446695045568</v>
      </c>
      <c r="M66" s="43">
        <f t="shared" ca="1" si="18"/>
        <v>-212.53342857212903</v>
      </c>
      <c r="N66" s="43">
        <f t="shared" ca="1" si="19"/>
        <v>-0.10294151105395599</v>
      </c>
      <c r="O66" s="43">
        <f t="shared" ca="1" si="20"/>
        <v>-83.628446695049959</v>
      </c>
      <c r="AK66" s="4">
        <v>1E-4</v>
      </c>
      <c r="AL66" s="53">
        <v>3.2012929636357512</v>
      </c>
      <c r="AM66" s="53">
        <v>-41.248898717266684</v>
      </c>
      <c r="AN66" s="52">
        <v>9.1935161497122238E-4</v>
      </c>
    </row>
    <row r="67" spans="2:40" x14ac:dyDescent="0.25">
      <c r="B67" s="12" t="str">
        <f t="shared" si="12"/>
        <v>201306</v>
      </c>
      <c r="C67" s="34">
        <f t="shared" ca="1" si="21"/>
        <v>-141.41894261684746</v>
      </c>
      <c r="D67" s="34">
        <f ca="1">sme_lower!D41-sme_lower!C41</f>
        <v>12.527079999999842</v>
      </c>
      <c r="E67" s="34">
        <f t="shared" ca="1" si="13"/>
        <v>153.9460226168473</v>
      </c>
      <c r="F67" s="34">
        <f ca="1">sme_lower!D41</f>
        <v>26322.956340000001</v>
      </c>
      <c r="G67" s="14">
        <f t="shared" ca="1" si="22"/>
        <v>1.0094345395889015</v>
      </c>
      <c r="H67" s="42">
        <f t="array" aca="1" ref="H67" ca="1">SUM($F$54:$F$73*$O$31^ABS(A44-$A$31:$A$50))/SUM($C$31:$C$50*$G$54:$G$73*$O$31^ABS(A44-$A$31:$A$50))</f>
        <v>0.49795652864262402</v>
      </c>
      <c r="I67" s="43">
        <f t="shared" ca="1" si="14"/>
        <v>-296.48702117559708</v>
      </c>
      <c r="J67" s="43">
        <f t="shared" ca="1" si="15"/>
        <v>26026.469318824402</v>
      </c>
      <c r="K67" s="14">
        <f t="shared" ca="1" si="16"/>
        <v>0.41240290143075226</v>
      </c>
      <c r="L67" s="43">
        <f t="shared" ca="1" si="17"/>
        <v>-153.8024873319082</v>
      </c>
      <c r="M67" s="43">
        <f t="shared" ca="1" si="18"/>
        <v>-296.34348589066082</v>
      </c>
      <c r="N67" s="43">
        <f t="shared" ca="1" si="19"/>
        <v>-0.143535284936263</v>
      </c>
      <c r="O67" s="43">
        <f t="shared" ca="1" si="20"/>
        <v>-153.80248733191104</v>
      </c>
      <c r="AK67" s="48">
        <v>0.05</v>
      </c>
      <c r="AL67" s="53">
        <v>40.37962970287208</v>
      </c>
      <c r="AM67" s="53">
        <v>-76.501662344972829</v>
      </c>
      <c r="AN67" s="52">
        <v>7.7524517636879341E-4</v>
      </c>
    </row>
    <row r="68" spans="2:40" x14ac:dyDescent="0.25">
      <c r="B68" s="12" t="str">
        <f t="shared" si="12"/>
        <v>201309</v>
      </c>
      <c r="C68" s="34">
        <f t="shared" ca="1" si="21"/>
        <v>-254.81053693282536</v>
      </c>
      <c r="D68" s="34">
        <f ca="1">sme_lower!D42-sme_lower!C42</f>
        <v>-37.771049999999377</v>
      </c>
      <c r="E68" s="34">
        <f t="shared" ca="1" si="13"/>
        <v>217.03948693282598</v>
      </c>
      <c r="F68" s="34">
        <f ca="1">sme_lower!D42</f>
        <v>27364.72075</v>
      </c>
      <c r="G68" s="14">
        <f t="shared" ca="1" si="22"/>
        <v>1.0139368238511293</v>
      </c>
      <c r="H68" s="42">
        <f t="array" aca="1" ref="H68" ca="1">SUM($F$54:$F$73*$O$31^ABS(A45-$A$31:$A$50))/SUM($C$31:$C$50*$G$54:$G$73*$O$31^ABS(A45-$A$31:$A$50))</f>
        <v>0.49795652864262424</v>
      </c>
      <c r="I68" s="43">
        <f t="shared" ca="1" si="14"/>
        <v>-436.75442056569841</v>
      </c>
      <c r="J68" s="43">
        <f t="shared" ca="1" si="15"/>
        <v>26927.966329434301</v>
      </c>
      <c r="K68" s="14">
        <f t="shared" ca="1" si="16"/>
        <v>0.42787950819732717</v>
      </c>
      <c r="L68" s="43">
        <f t="shared" ca="1" si="17"/>
        <v>-216.828045400056</v>
      </c>
      <c r="M68" s="43">
        <f t="shared" ca="1" si="18"/>
        <v>-436.5429790329307</v>
      </c>
      <c r="N68" s="43">
        <f t="shared" ca="1" si="19"/>
        <v>-0.21144153276770794</v>
      </c>
      <c r="O68" s="43">
        <f t="shared" ca="1" si="20"/>
        <v>-216.82804540005827</v>
      </c>
      <c r="AK68" s="49">
        <v>0.1</v>
      </c>
      <c r="AL68" s="53">
        <v>65.358941296627563</v>
      </c>
      <c r="AM68" s="53">
        <v>-100.32530549672447</v>
      </c>
      <c r="AN68" s="52">
        <v>6.5928053475004778E-4</v>
      </c>
    </row>
    <row r="69" spans="2:40" x14ac:dyDescent="0.25">
      <c r="B69" s="12" t="str">
        <f t="shared" si="12"/>
        <v>201312</v>
      </c>
      <c r="C69" s="34">
        <f t="shared" ca="1" si="21"/>
        <v>-278.61629693621018</v>
      </c>
      <c r="D69" s="34">
        <f ca="1">sme_lower!D43-sme_lower!C43</f>
        <v>335.33668000000034</v>
      </c>
      <c r="E69" s="34">
        <f t="shared" ca="1" si="13"/>
        <v>613.95297693621046</v>
      </c>
      <c r="F69" s="34">
        <f ca="1">sme_lower!D43</f>
        <v>45806.36363</v>
      </c>
      <c r="G69" s="14">
        <f t="shared" ca="1" si="22"/>
        <v>1.0220717607054832</v>
      </c>
      <c r="H69" s="42">
        <f t="array" aca="1" ref="H69" ca="1">SUM($F$54:$F$73*$O$31^ABS(A46-$A$31:$A$50))/SUM($C$31:$C$50*$G$54:$G$73*$O$31^ABS(A46-$A$31:$A$50))</f>
        <v>0.49795652864262402</v>
      </c>
      <c r="I69" s="43">
        <f t="shared" ca="1" si="14"/>
        <v>-700.05147841000007</v>
      </c>
      <c r="J69" s="43">
        <f t="shared" ca="1" si="15"/>
        <v>45106.312151589998</v>
      </c>
      <c r="K69" s="14">
        <f t="shared" ca="1" si="16"/>
        <v>0.70816711179561065</v>
      </c>
      <c r="L69" s="43">
        <f t="shared" ca="1" si="17"/>
        <v>-613.61406804223952</v>
      </c>
      <c r="M69" s="43">
        <f t="shared" ca="1" si="18"/>
        <v>-699.71256951602845</v>
      </c>
      <c r="N69" s="43">
        <f t="shared" ca="1" si="19"/>
        <v>-0.33890889397162027</v>
      </c>
      <c r="O69" s="43">
        <f t="shared" ca="1" si="20"/>
        <v>-613.61406804223884</v>
      </c>
      <c r="AK69" s="49">
        <v>0.15000000000000002</v>
      </c>
      <c r="AL69" s="53">
        <v>77.906228601901375</v>
      </c>
      <c r="AM69" s="53">
        <v>-112.38508698974192</v>
      </c>
      <c r="AN69" s="52">
        <v>5.6613555527882417E-4</v>
      </c>
    </row>
    <row r="70" spans="2:40" x14ac:dyDescent="0.25">
      <c r="B70" s="12" t="str">
        <f t="shared" si="12"/>
        <v>201403</v>
      </c>
      <c r="C70" s="34">
        <f t="shared" ca="1" si="21"/>
        <v>-179.09469459810063</v>
      </c>
      <c r="D70" s="34">
        <f ca="1">sme_lower!D44-sme_lower!C44</f>
        <v>-432.37410999999702</v>
      </c>
      <c r="E70" s="34">
        <f t="shared" ca="1" si="13"/>
        <v>-253.27941540189639</v>
      </c>
      <c r="F70" s="34">
        <f ca="1">sme_lower!D44</f>
        <v>37946.521769999999</v>
      </c>
      <c r="G70" s="14">
        <f t="shared" ca="1" si="22"/>
        <v>1.0308604440914018</v>
      </c>
      <c r="H70" s="42">
        <f t="array" aca="1" ref="H70" ca="1">SUM($F$54:$F$73*$O$31^ABS(A47-$A$31:$A$50))/SUM($C$31:$C$50*$G$54:$G$73*$O$31^ABS(A47-$A$31:$A$50))</f>
        <v>0.49795652864262402</v>
      </c>
      <c r="I70" s="43">
        <f t="shared" ca="1" si="14"/>
        <v>-990.68184611172546</v>
      </c>
      <c r="J70" s="43">
        <f t="shared" ca="1" si="15"/>
        <v>36955.83992388827</v>
      </c>
      <c r="K70" s="14">
        <f t="shared" ca="1" si="16"/>
        <v>0.57324790288572269</v>
      </c>
      <c r="L70" s="43">
        <f t="shared" ca="1" si="17"/>
        <v>253.75902425796085</v>
      </c>
      <c r="M70" s="43">
        <f t="shared" ca="1" si="18"/>
        <v>-990.20223725566495</v>
      </c>
      <c r="N70" s="43">
        <f t="shared" ca="1" si="19"/>
        <v>-0.47960885606050851</v>
      </c>
      <c r="O70" s="43">
        <f t="shared" ca="1" si="20"/>
        <v>253.7590242579569</v>
      </c>
      <c r="AK70" s="49">
        <v>0.2</v>
      </c>
      <c r="AL70" s="53">
        <v>77.932658744186028</v>
      </c>
      <c r="AM70" s="53">
        <v>-112.48196120177226</v>
      </c>
      <c r="AN70" s="52">
        <v>4.9101034535217573E-4</v>
      </c>
    </row>
    <row r="71" spans="2:40" x14ac:dyDescent="0.25">
      <c r="B71" s="12" t="str">
        <f t="shared" si="12"/>
        <v>201406</v>
      </c>
      <c r="C71" s="34">
        <f t="shared" ca="1" si="21"/>
        <v>-320.81901844169249</v>
      </c>
      <c r="D71" s="34">
        <f ca="1">sme_lower!D45-sme_lower!C45</f>
        <v>-73.976210000000719</v>
      </c>
      <c r="E71" s="34">
        <f t="shared" ca="1" si="13"/>
        <v>246.84280844169177</v>
      </c>
      <c r="F71" s="34">
        <f ca="1">sme_lower!D45</f>
        <v>38611.975509999997</v>
      </c>
      <c r="G71" s="14">
        <f t="shared" ca="1" si="22"/>
        <v>1.0364420733806157</v>
      </c>
      <c r="H71" s="42">
        <f t="array" aca="1" ref="H71" ca="1">SUM($F$54:$F$73*$O$31^ABS(A48-$A$31:$A$50))/SUM($C$31:$C$50*$G$54:$G$73*$O$31^ABS(A48-$A$31:$A$50))</f>
        <v>0.49795652864262413</v>
      </c>
      <c r="I71" s="43">
        <f t="shared" ca="1" si="14"/>
        <v>-1212.9662854431015</v>
      </c>
      <c r="J71" s="43">
        <f t="shared" ca="1" si="15"/>
        <v>37399.009224556896</v>
      </c>
      <c r="K71" s="14">
        <f t="shared" ca="1" si="16"/>
        <v>0.55950745336275343</v>
      </c>
      <c r="L71" s="43">
        <f t="shared" ca="1" si="17"/>
        <v>-246.25558725167502</v>
      </c>
      <c r="M71" s="43">
        <f t="shared" ca="1" si="18"/>
        <v>-1212.3790642530848</v>
      </c>
      <c r="N71" s="43">
        <f t="shared" ca="1" si="19"/>
        <v>-0.58722119001663486</v>
      </c>
      <c r="O71" s="43">
        <f t="shared" ca="1" si="20"/>
        <v>-246.25558725167514</v>
      </c>
      <c r="AK71" s="49">
        <v>0.25</v>
      </c>
      <c r="AL71" s="53">
        <v>65.601434769252592</v>
      </c>
      <c r="AM71" s="53">
        <v>-100.64726505904696</v>
      </c>
      <c r="AN71" s="52">
        <v>4.2983331695007184E-4</v>
      </c>
    </row>
    <row r="72" spans="2:40" x14ac:dyDescent="0.25">
      <c r="B72" s="12" t="str">
        <f t="shared" si="12"/>
        <v>201409</v>
      </c>
      <c r="C72" s="34">
        <f t="shared" ca="1" si="21"/>
        <v>204.15676388467463</v>
      </c>
      <c r="D72" s="34">
        <f ca="1">sme_lower!D46-sme_lower!C46</f>
        <v>462.83767999999691</v>
      </c>
      <c r="E72" s="34">
        <f t="shared" ca="1" si="13"/>
        <v>258.68091611532225</v>
      </c>
      <c r="F72" s="34">
        <f ca="1">sme_lower!D46</f>
        <v>35282.144469999999</v>
      </c>
      <c r="G72" s="14">
        <f t="shared" ca="1" si="22"/>
        <v>1.0460853529098213</v>
      </c>
      <c r="H72" s="42">
        <f t="array" aca="1" ref="H72" ca="1">SUM($F$54:$F$73*$O$31^ABS(A49-$A$31:$A$50))/SUM($C$31:$C$50*$G$54:$G$73*$O$31^ABS(A49-$A$31:$A$50))</f>
        <v>0.49795652864262391</v>
      </c>
      <c r="I72" s="43">
        <f t="shared" ca="1" si="14"/>
        <v>-1574.1244395686181</v>
      </c>
      <c r="J72" s="43">
        <f t="shared" ca="1" si="15"/>
        <v>33708.020030431384</v>
      </c>
      <c r="K72" s="14">
        <f t="shared" ca="1" si="16"/>
        <v>0.49141513697906314</v>
      </c>
      <c r="L72" s="43">
        <f t="shared" ca="1" si="17"/>
        <v>-257.91885105405527</v>
      </c>
      <c r="M72" s="43">
        <f t="shared" ca="1" si="18"/>
        <v>-1573.3623745073464</v>
      </c>
      <c r="N72" s="43">
        <f t="shared" ca="1" si="19"/>
        <v>-0.76206506127164175</v>
      </c>
      <c r="O72" s="43">
        <f t="shared" ca="1" si="20"/>
        <v>-257.91885105405061</v>
      </c>
      <c r="AK72" s="49">
        <v>0.3</v>
      </c>
      <c r="AL72" s="53">
        <v>41.447130684844296</v>
      </c>
      <c r="AM72" s="53">
        <v>-77.260161577888312</v>
      </c>
      <c r="AN72" s="52">
        <v>3.7914724654382803E-4</v>
      </c>
    </row>
    <row r="73" spans="2:40" ht="15.75" thickBot="1" x14ac:dyDescent="0.3">
      <c r="B73" s="20" t="str">
        <f>B50</f>
        <v>201412</v>
      </c>
      <c r="C73" s="33">
        <f t="shared" ca="1" si="21"/>
        <v>11489.750757236337</v>
      </c>
      <c r="D73" s="33">
        <f ca="1">sme_lower!D47-sme_lower!C47</f>
        <v>9982.1381900000015</v>
      </c>
      <c r="E73" s="33">
        <f t="shared" ca="1" si="13"/>
        <v>-1507.612567236336</v>
      </c>
      <c r="F73" s="33">
        <f ca="1">sme_lower!D47</f>
        <v>35454.984980000001</v>
      </c>
      <c r="G73" s="22">
        <f t="shared" ca="1" si="22"/>
        <v>1.0401053977100547</v>
      </c>
      <c r="H73" s="44">
        <f t="array" aca="1" ref="H73" ca="1">SUM($F$54:$F$73*$O$31^ABS(A50-$A$31:$A$50))/SUM($C$31:$C$50*$G$54:$G$73*$O$31^ABS(A50-$A$31:$A$50))</f>
        <v>0.49795652864262413</v>
      </c>
      <c r="I73" s="45">
        <f t="shared" ca="1" si="14"/>
        <v>-1390.373354074992</v>
      </c>
      <c r="J73" s="45">
        <f t="shared" ca="1" si="15"/>
        <v>34064.611625925012</v>
      </c>
      <c r="K73" s="22">
        <f t="shared" ca="1" si="16"/>
        <v>0.48928991445876802</v>
      </c>
      <c r="L73" s="45">
        <f t="shared" ca="1" si="17"/>
        <v>1508.2856747293845</v>
      </c>
      <c r="M73" s="43">
        <f t="shared" ca="1" si="18"/>
        <v>-1389.700246581943</v>
      </c>
      <c r="N73" s="43">
        <f t="shared" ca="1" si="19"/>
        <v>-0.67310749304897399</v>
      </c>
      <c r="O73" s="43">
        <f t="shared" ca="1" si="20"/>
        <v>1508.2856747293849</v>
      </c>
      <c r="AK73" s="49">
        <v>0.35</v>
      </c>
      <c r="AL73" s="53">
        <v>6.4222515623469008</v>
      </c>
      <c r="AM73" s="53">
        <v>-43.100952110280105</v>
      </c>
      <c r="AN73" s="52">
        <v>3.3601569987957243E-4</v>
      </c>
    </row>
    <row r="74" spans="2:40" ht="15.75" thickBot="1" x14ac:dyDescent="0.3">
      <c r="B74" s="27" t="s">
        <v>42</v>
      </c>
      <c r="C74" s="28">
        <f ca="1">SUM(C54:C73)</f>
        <v>10235.253365976077</v>
      </c>
      <c r="D74" s="28">
        <f ca="1">SUM(D54:D73)</f>
        <v>10531.02836</v>
      </c>
      <c r="E74" s="28">
        <f ca="1">SUM(E54:E73)</f>
        <v>295.77499402392277</v>
      </c>
      <c r="F74" s="28">
        <f ca="1">SUM(F54:F73)</f>
        <v>610953.9334199999</v>
      </c>
      <c r="G74" s="28"/>
      <c r="H74" s="28"/>
      <c r="I74" s="28">
        <f ca="1">SUM(I54:I73)</f>
        <v>-7425.8013822640551</v>
      </c>
      <c r="J74" s="28">
        <f ca="1">SUM(J54:J73)</f>
        <v>603528.13203773601</v>
      </c>
      <c r="K74" s="47">
        <f t="shared" ca="1" si="16"/>
        <v>0.49795652864262419</v>
      </c>
      <c r="L74" s="46">
        <f ca="1">SUM(L54:L73)</f>
        <v>-292.18001535315125</v>
      </c>
      <c r="M74" s="46">
        <f ca="1">SUM(M54:M73)</f>
        <v>-7422.2064035932945</v>
      </c>
      <c r="N74" s="46">
        <f ca="1">SUM(N54:N73)</f>
        <v>-3.5949786707596667</v>
      </c>
      <c r="O74" s="46">
        <f ca="1">SUM(O54:O73)</f>
        <v>-292.18001535316307</v>
      </c>
      <c r="AK74" s="49">
        <v>0.39999999999999997</v>
      </c>
      <c r="AL74" s="53">
        <v>-38.115702408987545</v>
      </c>
      <c r="AM74" s="53">
        <v>0.65184461635840307</v>
      </c>
      <c r="AN74" s="52">
        <v>2.979652754469339E-4</v>
      </c>
    </row>
    <row r="75" spans="2:40" x14ac:dyDescent="0.25">
      <c r="AK75" s="49">
        <v>0.44999999999999996</v>
      </c>
      <c r="AL75" s="53">
        <v>-90.449104210236555</v>
      </c>
      <c r="AM75" s="53">
        <v>52.457102468165203</v>
      </c>
      <c r="AN75" s="52">
        <v>2.6296972314020196E-4</v>
      </c>
    </row>
    <row r="76" spans="2:40" x14ac:dyDescent="0.25">
      <c r="G76" t="s">
        <v>56</v>
      </c>
      <c r="H76">
        <f t="array" aca="1" ref="H76" ca="1">SUM((I31:I50-H54:H73)^2)</f>
        <v>1.1623015988229348E-6</v>
      </c>
      <c r="AK76" s="49">
        <v>0.49999999999999994</v>
      </c>
      <c r="AL76" s="53">
        <v>-148.52963014424108</v>
      </c>
      <c r="AM76" s="53">
        <v>110.43499064538173</v>
      </c>
      <c r="AN76" s="52">
        <v>2.2946990322812965E-4</v>
      </c>
    </row>
    <row r="77" spans="2:40" x14ac:dyDescent="0.25">
      <c r="AK77" s="49">
        <v>0.54999999999999993</v>
      </c>
      <c r="AL77" s="53">
        <v>-209.91685013908864</v>
      </c>
      <c r="AM77" s="53">
        <v>172.3057090009022</v>
      </c>
      <c r="AN77" s="52">
        <v>1.9641435305186241E-4</v>
      </c>
    </row>
    <row r="78" spans="2:40" x14ac:dyDescent="0.25">
      <c r="AK78" s="49">
        <v>0.6</v>
      </c>
      <c r="AL78" s="53">
        <v>-271.51420967940749</v>
      </c>
      <c r="AM78" s="53">
        <v>235.13159178692945</v>
      </c>
      <c r="AN78" s="52">
        <v>1.6330432454181483E-4</v>
      </c>
    </row>
    <row r="79" spans="2:40" x14ac:dyDescent="0.25">
      <c r="AK79" s="49">
        <v>0.65</v>
      </c>
      <c r="AL79" s="53">
        <v>-328.95955646369225</v>
      </c>
      <c r="AM79" s="53">
        <v>294.71647013201095</v>
      </c>
      <c r="AN79" s="52">
        <v>1.3023716109906568E-4</v>
      </c>
    </row>
    <row r="80" spans="2:40" x14ac:dyDescent="0.25">
      <c r="AK80" s="49">
        <v>0.70000000000000007</v>
      </c>
      <c r="AL80" s="53">
        <v>-375.55595792279632</v>
      </c>
      <c r="AM80" s="53">
        <v>344.53716757368011</v>
      </c>
      <c r="AN80" s="52">
        <v>9.7956302758495949E-5</v>
      </c>
    </row>
    <row r="81" spans="37:40" x14ac:dyDescent="0.25">
      <c r="AK81" s="49">
        <v>0.75000000000000011</v>
      </c>
      <c r="AL81" s="53">
        <v>-400.85551464819446</v>
      </c>
      <c r="AM81" s="53">
        <v>374.29629644374768</v>
      </c>
      <c r="AN81" s="52">
        <v>6.7902826805122659E-5</v>
      </c>
    </row>
    <row r="82" spans="37:40" x14ac:dyDescent="0.25">
      <c r="AK82" s="49">
        <v>0.80000000000000016</v>
      </c>
      <c r="AL82" s="53">
        <v>-389.65876856420687</v>
      </c>
      <c r="AM82" s="53">
        <v>368.8253359210637</v>
      </c>
      <c r="AN82" s="52">
        <v>4.2147177786756645E-5</v>
      </c>
    </row>
    <row r="83" spans="37:40" x14ac:dyDescent="0.25">
      <c r="AK83" s="49">
        <v>0.8500000000000002</v>
      </c>
      <c r="AL83" s="53">
        <v>-323.3000058894163</v>
      </c>
      <c r="AM83" s="53">
        <v>309.1974160363618</v>
      </c>
      <c r="AN83" s="52">
        <v>2.2830722010442908E-5</v>
      </c>
    </row>
    <row r="84" spans="37:40" x14ac:dyDescent="0.25">
      <c r="AK84" s="49">
        <v>0.90000000000000024</v>
      </c>
      <c r="AL84" s="53">
        <v>-185.62500001979652</v>
      </c>
      <c r="AM84" s="53">
        <v>178.54603763290493</v>
      </c>
      <c r="AN84" s="52">
        <v>1.0788824956623078E-5</v>
      </c>
    </row>
    <row r="85" spans="37:40" x14ac:dyDescent="0.25">
      <c r="AK85" s="49">
        <v>0.95000000000000029</v>
      </c>
      <c r="AL85" s="53">
        <v>26.611344559932604</v>
      </c>
      <c r="AM85" s="53">
        <v>-27.458042603739386</v>
      </c>
      <c r="AN85" s="52">
        <v>4.3756405261969918E-6</v>
      </c>
    </row>
    <row r="86" spans="37:40" x14ac:dyDescent="0.25">
      <c r="AK86" s="49">
        <v>1.0000000000000002</v>
      </c>
      <c r="AL86" s="53">
        <v>295.77499402392277</v>
      </c>
      <c r="AM86" s="53">
        <v>-292.18001535316307</v>
      </c>
      <c r="AN86" s="52">
        <v>1.1623015988229348E-6</v>
      </c>
    </row>
  </sheetData>
  <conditionalFormatting sqref="T39:T5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9:U5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9:AP5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66:AL8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66:AM8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66:AN8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B0E9F-8942-4264-BB9C-EF77FB85FFB3}">
  <dimension ref="H1:O9"/>
  <sheetViews>
    <sheetView zoomScale="85" zoomScaleNormal="85" workbookViewId="0">
      <selection activeCell="AF3" sqref="AF3"/>
    </sheetView>
  </sheetViews>
  <sheetFormatPr defaultRowHeight="49.5" customHeight="1" x14ac:dyDescent="0.25"/>
  <cols>
    <col min="5" max="5" width="9.140625" customWidth="1"/>
    <col min="8" max="15" width="11.7109375" customWidth="1"/>
  </cols>
  <sheetData>
    <row r="1" spans="8:15" ht="49.5" customHeight="1" thickBot="1" x14ac:dyDescent="0.3"/>
    <row r="2" spans="8:15" ht="49.5" customHeight="1" thickBot="1" x14ac:dyDescent="0.3">
      <c r="I2" s="62" t="s">
        <v>59</v>
      </c>
      <c r="J2" s="63"/>
      <c r="K2" s="63"/>
      <c r="L2" s="63"/>
      <c r="M2" s="63"/>
      <c r="N2" s="63"/>
      <c r="O2" s="64"/>
    </row>
    <row r="3" spans="8:15" ht="49.5" customHeight="1" x14ac:dyDescent="0.25">
      <c r="H3" s="59" t="s">
        <v>58</v>
      </c>
      <c r="I3" s="57"/>
      <c r="J3" s="57"/>
      <c r="K3" s="57"/>
      <c r="L3" s="57"/>
      <c r="M3" s="57"/>
      <c r="N3" s="57"/>
      <c r="O3" s="57"/>
    </row>
    <row r="4" spans="8:15" ht="49.5" customHeight="1" x14ac:dyDescent="0.25">
      <c r="H4" s="60"/>
      <c r="I4" s="57"/>
      <c r="J4" s="57"/>
      <c r="K4" s="57"/>
      <c r="L4" s="57"/>
      <c r="M4" s="57"/>
      <c r="N4" s="57"/>
      <c r="O4" s="56"/>
    </row>
    <row r="5" spans="8:15" ht="49.5" customHeight="1" x14ac:dyDescent="0.25">
      <c r="H5" s="60"/>
      <c r="I5" s="57"/>
      <c r="J5" s="57"/>
      <c r="K5" s="57"/>
      <c r="L5" s="57"/>
      <c r="M5" s="57"/>
      <c r="N5" s="56"/>
      <c r="O5" s="56"/>
    </row>
    <row r="6" spans="8:15" ht="49.5" customHeight="1" x14ac:dyDescent="0.25">
      <c r="H6" s="60"/>
      <c r="I6" s="57"/>
      <c r="J6" s="57"/>
      <c r="K6" s="57"/>
      <c r="L6" s="57"/>
      <c r="M6" s="56"/>
      <c r="N6" s="56"/>
      <c r="O6" s="56"/>
    </row>
    <row r="7" spans="8:15" ht="49.5" customHeight="1" x14ac:dyDescent="0.25">
      <c r="H7" s="60"/>
      <c r="I7" s="57"/>
      <c r="J7" s="57"/>
      <c r="K7" s="57"/>
      <c r="L7" s="56"/>
      <c r="M7" s="56"/>
      <c r="N7" s="56"/>
      <c r="O7" s="56"/>
    </row>
    <row r="8" spans="8:15" ht="49.5" customHeight="1" x14ac:dyDescent="0.25">
      <c r="H8" s="60"/>
      <c r="I8" s="57"/>
      <c r="J8" s="57"/>
      <c r="K8" s="56"/>
      <c r="L8" s="56"/>
      <c r="M8" s="56"/>
      <c r="N8" s="56"/>
      <c r="O8" s="56"/>
    </row>
    <row r="9" spans="8:15" ht="49.5" customHeight="1" thickBot="1" x14ac:dyDescent="0.3">
      <c r="H9" s="61"/>
      <c r="I9" s="57"/>
      <c r="J9" s="56"/>
      <c r="K9" s="56"/>
      <c r="L9" s="56"/>
      <c r="M9" s="56"/>
      <c r="N9" s="56"/>
      <c r="O9" s="56"/>
    </row>
  </sheetData>
  <mergeCells count="2">
    <mergeCell ref="H3:H9"/>
    <mergeCell ref="I2:O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3F38E-748D-4A75-981B-F051E4F86120}">
  <dimension ref="A1:U51"/>
  <sheetViews>
    <sheetView topLeftCell="A22" zoomScale="85" zoomScaleNormal="85" workbookViewId="0">
      <selection activeCell="N30" sqref="N30"/>
    </sheetView>
  </sheetViews>
  <sheetFormatPr defaultRowHeight="15" x14ac:dyDescent="0.25"/>
  <cols>
    <col min="1" max="1" width="8.5703125" bestFit="1" customWidth="1"/>
    <col min="2" max="2" width="12.85546875" bestFit="1" customWidth="1"/>
    <col min="3" max="3" width="17.5703125" bestFit="1" customWidth="1"/>
    <col min="4" max="4" width="9" bestFit="1" customWidth="1"/>
    <col min="5" max="5" width="10" bestFit="1" customWidth="1"/>
    <col min="6" max="6" width="10.85546875" bestFit="1" customWidth="1"/>
    <col min="7" max="7" width="9.85546875" bestFit="1" customWidth="1"/>
    <col min="8" max="8" width="10" bestFit="1" customWidth="1"/>
    <col min="9" max="9" width="10.5703125" bestFit="1" customWidth="1"/>
    <col min="10" max="10" width="11.28515625" bestFit="1" customWidth="1"/>
    <col min="11" max="11" width="9.5703125" bestFit="1" customWidth="1"/>
    <col min="12" max="12" width="9" bestFit="1" customWidth="1"/>
  </cols>
  <sheetData>
    <row r="1" spans="1:20" x14ac:dyDescent="0.25">
      <c r="A1" s="55"/>
      <c r="B1" s="55" t="s">
        <v>2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</row>
    <row r="2" spans="1:20" x14ac:dyDescent="0.25">
      <c r="A2" s="54" t="s">
        <v>6</v>
      </c>
      <c r="B2" s="54">
        <v>1</v>
      </c>
      <c r="C2" s="54">
        <v>2</v>
      </c>
      <c r="D2" s="54">
        <v>3</v>
      </c>
      <c r="E2" s="54">
        <v>4</v>
      </c>
      <c r="F2" s="54">
        <v>5</v>
      </c>
      <c r="G2" s="54">
        <v>6</v>
      </c>
      <c r="H2" s="54">
        <v>7</v>
      </c>
      <c r="I2" s="54">
        <v>8</v>
      </c>
      <c r="J2" s="54">
        <v>9</v>
      </c>
      <c r="K2" s="54">
        <v>10</v>
      </c>
      <c r="L2" s="54">
        <v>11</v>
      </c>
      <c r="M2" s="54">
        <v>12</v>
      </c>
      <c r="N2" s="54">
        <v>13</v>
      </c>
      <c r="O2" s="54">
        <v>14</v>
      </c>
      <c r="P2" s="54">
        <v>15</v>
      </c>
      <c r="Q2" s="54">
        <v>16</v>
      </c>
      <c r="R2" s="54">
        <v>17</v>
      </c>
      <c r="S2" s="54">
        <v>18</v>
      </c>
      <c r="T2" s="54">
        <v>19</v>
      </c>
    </row>
    <row r="3" spans="1:20" x14ac:dyDescent="0.25">
      <c r="A3" t="s">
        <v>7</v>
      </c>
      <c r="B3" s="58">
        <f>IFERROR('CC examples - SME'!C3/'CC examples - SME'!B3,"")</f>
        <v>1.5849223148356617</v>
      </c>
      <c r="C3" s="58">
        <f>IFERROR('CC examples - SME'!D3/'CC examples - SME'!C3,"")</f>
        <v>1.0553779263591205</v>
      </c>
      <c r="D3" s="58">
        <f>IFERROR('CC examples - SME'!E3/'CC examples - SME'!D3,"")</f>
        <v>0.96043540609486822</v>
      </c>
      <c r="E3" s="58">
        <f>IFERROR('CC examples - SME'!F3/'CC examples - SME'!E3,"")</f>
        <v>0.98146524681260738</v>
      </c>
      <c r="F3" s="58">
        <f>IFERROR('CC examples - SME'!G3/'CC examples - SME'!F3,"")</f>
        <v>0.99911339953795542</v>
      </c>
      <c r="G3" s="58">
        <f>IFERROR('CC examples - SME'!H3/'CC examples - SME'!G3,"")</f>
        <v>0.99747151524825706</v>
      </c>
      <c r="H3" s="58">
        <f>IFERROR('CC examples - SME'!I3/'CC examples - SME'!H3,"")</f>
        <v>0.97940814460638914</v>
      </c>
      <c r="I3" s="58">
        <f>IFERROR('CC examples - SME'!J3/'CC examples - SME'!I3,"")</f>
        <v>0.99852103456179264</v>
      </c>
      <c r="J3" s="58">
        <f>IFERROR('CC examples - SME'!K3/'CC examples - SME'!J3,"")</f>
        <v>0.9956323390877424</v>
      </c>
      <c r="K3" s="58">
        <f>IFERROR('CC examples - SME'!L3/'CC examples - SME'!K3,"")</f>
        <v>0.99999511915039496</v>
      </c>
      <c r="L3" s="58">
        <f>IFERROR('CC examples - SME'!M3/'CC examples - SME'!L3,"")</f>
        <v>0.99918686245066879</v>
      </c>
      <c r="M3" s="58">
        <f>IFERROR('CC examples - SME'!N3/'CC examples - SME'!M3,"")</f>
        <v>0.99652889707426795</v>
      </c>
      <c r="N3" s="58">
        <f>IFERROR('CC examples - SME'!O3/'CC examples - SME'!N3,"")</f>
        <v>0.99828046144057969</v>
      </c>
      <c r="O3" s="58">
        <f>IFERROR('CC examples - SME'!P3/'CC examples - SME'!O3,"")</f>
        <v>1.0004733440971181</v>
      </c>
      <c r="P3" s="58">
        <f>IFERROR('CC examples - SME'!Q3/'CC examples - SME'!P3,"")</f>
        <v>0.99741747131270853</v>
      </c>
      <c r="Q3" s="58">
        <f>IFERROR('CC examples - SME'!R3/'CC examples - SME'!Q3,"")</f>
        <v>0.99952467095271691</v>
      </c>
      <c r="R3" s="58">
        <f>IFERROR('CC examples - SME'!S3/'CC examples - SME'!R3,"")</f>
        <v>1</v>
      </c>
      <c r="S3" s="58">
        <f>IFERROR('CC examples - SME'!T3/'CC examples - SME'!S3,"")</f>
        <v>1</v>
      </c>
      <c r="T3" s="58">
        <f>IFERROR('CC examples - SME'!U3/'CC examples - SME'!T3,"")</f>
        <v>1</v>
      </c>
    </row>
    <row r="4" spans="1:20" x14ac:dyDescent="0.25">
      <c r="A4" t="s">
        <v>8</v>
      </c>
      <c r="B4" s="58">
        <f>IFERROR('CC examples - SME'!C4/'CC examples - SME'!B4,"")</f>
        <v>1.3157389821398697</v>
      </c>
      <c r="C4" s="58">
        <f>IFERROR('CC examples - SME'!D4/'CC examples - SME'!C4,"")</f>
        <v>0.94809285403935706</v>
      </c>
      <c r="D4" s="58">
        <f>IFERROR('CC examples - SME'!E4/'CC examples - SME'!D4,"")</f>
        <v>0.99253178266247044</v>
      </c>
      <c r="E4" s="58">
        <f>IFERROR('CC examples - SME'!F4/'CC examples - SME'!E4,"")</f>
        <v>0.99685588967205374</v>
      </c>
      <c r="F4" s="58">
        <f>IFERROR('CC examples - SME'!G4/'CC examples - SME'!F4,"")</f>
        <v>1.0101129450979109</v>
      </c>
      <c r="G4" s="58">
        <f>IFERROR('CC examples - SME'!H4/'CC examples - SME'!G4,"")</f>
        <v>0.97109949764915959</v>
      </c>
      <c r="H4" s="58">
        <f>IFERROR('CC examples - SME'!I4/'CC examples - SME'!H4,"")</f>
        <v>1.0053028670345692</v>
      </c>
      <c r="I4" s="58">
        <f>IFERROR('CC examples - SME'!J4/'CC examples - SME'!I4,"")</f>
        <v>0.99719357375498019</v>
      </c>
      <c r="J4" s="58">
        <f>IFERROR('CC examples - SME'!K4/'CC examples - SME'!J4,"")</f>
        <v>1.0126745538774939</v>
      </c>
      <c r="K4" s="58">
        <f>IFERROR('CC examples - SME'!L4/'CC examples - SME'!K4,"")</f>
        <v>1</v>
      </c>
      <c r="L4" s="58">
        <f>IFERROR('CC examples - SME'!M4/'CC examples - SME'!L4,"")</f>
        <v>0.99999580364144713</v>
      </c>
      <c r="M4" s="58">
        <f>IFERROR('CC examples - SME'!N4/'CC examples - SME'!M4,"")</f>
        <v>1</v>
      </c>
      <c r="N4" s="58">
        <f>IFERROR('CC examples - SME'!O4/'CC examples - SME'!N4,"")</f>
        <v>1</v>
      </c>
      <c r="O4" s="58">
        <f>IFERROR('CC examples - SME'!P4/'CC examples - SME'!O4,"")</f>
        <v>0.99907992352241082</v>
      </c>
      <c r="P4" s="58">
        <f>IFERROR('CC examples - SME'!Q4/'CC examples - SME'!P4,"")</f>
        <v>0.9998361870717315</v>
      </c>
      <c r="Q4" s="58">
        <f>IFERROR('CC examples - SME'!R4/'CC examples - SME'!Q4,"")</f>
        <v>1.000095573566506</v>
      </c>
      <c r="R4" s="58">
        <f>IFERROR('CC examples - SME'!S4/'CC examples - SME'!R4,"")</f>
        <v>1</v>
      </c>
      <c r="S4" s="58">
        <f>IFERROR('CC examples - SME'!T4/'CC examples - SME'!S4,"")</f>
        <v>1</v>
      </c>
      <c r="T4" s="58"/>
    </row>
    <row r="5" spans="1:20" x14ac:dyDescent="0.25">
      <c r="A5" t="s">
        <v>9</v>
      </c>
      <c r="B5" s="58">
        <f>IFERROR('CC examples - SME'!C5/'CC examples - SME'!B5,"")</f>
        <v>1.1962978846973011</v>
      </c>
      <c r="C5" s="58">
        <f>IFERROR('CC examples - SME'!D5/'CC examples - SME'!C5,"")</f>
        <v>0.9529350053225546</v>
      </c>
      <c r="D5" s="58">
        <f>IFERROR('CC examples - SME'!E5/'CC examples - SME'!D5,"")</f>
        <v>1.0031669589348819</v>
      </c>
      <c r="E5" s="58">
        <f>IFERROR('CC examples - SME'!F5/'CC examples - SME'!E5,"")</f>
        <v>1.0039096839672552</v>
      </c>
      <c r="F5" s="58">
        <f>IFERROR('CC examples - SME'!G5/'CC examples - SME'!F5,"")</f>
        <v>0.98978343880705533</v>
      </c>
      <c r="G5" s="58">
        <f>IFERROR('CC examples - SME'!H5/'CC examples - SME'!G5,"")</f>
        <v>1.0002304374846189</v>
      </c>
      <c r="H5" s="58">
        <f>IFERROR('CC examples - SME'!I5/'CC examples - SME'!H5,"")</f>
        <v>0.9934975948706557</v>
      </c>
      <c r="I5" s="58">
        <f>IFERROR('CC examples - SME'!J5/'CC examples - SME'!I5,"")</f>
        <v>1.0029213113333662</v>
      </c>
      <c r="J5" s="58">
        <f>IFERROR('CC examples - SME'!K5/'CC examples - SME'!J5,"")</f>
        <v>0.99999867091676298</v>
      </c>
      <c r="K5" s="58">
        <f>IFERROR('CC examples - SME'!L5/'CC examples - SME'!K5,"")</f>
        <v>1.0007561071049844</v>
      </c>
      <c r="L5" s="58">
        <f>IFERROR('CC examples - SME'!M5/'CC examples - SME'!L5,"")</f>
        <v>0.998653579563758</v>
      </c>
      <c r="M5" s="58">
        <f>IFERROR('CC examples - SME'!N5/'CC examples - SME'!M5,"")</f>
        <v>0.99916366836801584</v>
      </c>
      <c r="N5" s="58">
        <f>IFERROR('CC examples - SME'!O5/'CC examples - SME'!N5,"")</f>
        <v>1</v>
      </c>
      <c r="O5" s="58">
        <f>IFERROR('CC examples - SME'!P5/'CC examples - SME'!O5,"")</f>
        <v>0.99626462974123464</v>
      </c>
      <c r="P5" s="58">
        <f>IFERROR('CC examples - SME'!Q5/'CC examples - SME'!P5,"")</f>
        <v>1</v>
      </c>
      <c r="Q5" s="58">
        <f>IFERROR('CC examples - SME'!R5/'CC examples - SME'!Q5,"")</f>
        <v>0.99954852549409789</v>
      </c>
      <c r="R5" s="58">
        <f>IFERROR('CC examples - SME'!S5/'CC examples - SME'!R5,"")</f>
        <v>1</v>
      </c>
      <c r="S5" s="58"/>
      <c r="T5" s="58" t="str">
        <f>IFERROR('CC examples - SME'!U5/'CC examples - SME'!T5,"")</f>
        <v/>
      </c>
    </row>
    <row r="6" spans="1:20" x14ac:dyDescent="0.25">
      <c r="A6" t="s">
        <v>10</v>
      </c>
      <c r="B6" s="58">
        <f>IFERROR('CC examples - SME'!C6/'CC examples - SME'!B6,"")</f>
        <v>1.3621738077946424</v>
      </c>
      <c r="C6" s="58">
        <f>IFERROR('CC examples - SME'!D6/'CC examples - SME'!C6,"")</f>
        <v>0.99884200171372661</v>
      </c>
      <c r="D6" s="58">
        <f>IFERROR('CC examples - SME'!E6/'CC examples - SME'!D6,"")</f>
        <v>0.99120929869453733</v>
      </c>
      <c r="E6" s="58">
        <f>IFERROR('CC examples - SME'!F6/'CC examples - SME'!E6,"")</f>
        <v>0.97980646654912673</v>
      </c>
      <c r="F6" s="58">
        <f>IFERROR('CC examples - SME'!G6/'CC examples - SME'!F6,"")</f>
        <v>1.0030698707598571</v>
      </c>
      <c r="G6" s="58">
        <f>IFERROR('CC examples - SME'!H6/'CC examples - SME'!G6,"")</f>
        <v>0.9995388461333411</v>
      </c>
      <c r="H6" s="58">
        <f>IFERROR('CC examples - SME'!I6/'CC examples - SME'!H6,"")</f>
        <v>1.0019595681190638</v>
      </c>
      <c r="I6" s="58">
        <f>IFERROR('CC examples - SME'!J6/'CC examples - SME'!I6,"")</f>
        <v>0.99958211635256811</v>
      </c>
      <c r="J6" s="58">
        <f>IFERROR('CC examples - SME'!K6/'CC examples - SME'!J6,"")</f>
        <v>0.99473761372043057</v>
      </c>
      <c r="K6" s="58">
        <f>IFERROR('CC examples - SME'!L6/'CC examples - SME'!K6,"")</f>
        <v>1.0041220337508003</v>
      </c>
      <c r="L6" s="58">
        <f>IFERROR('CC examples - SME'!M6/'CC examples - SME'!L6,"")</f>
        <v>0.99643145814158829</v>
      </c>
      <c r="M6" s="58">
        <f>IFERROR('CC examples - SME'!N6/'CC examples - SME'!M6,"")</f>
        <v>1.0011267530153301</v>
      </c>
      <c r="N6" s="58">
        <f>IFERROR('CC examples - SME'!O6/'CC examples - SME'!N6,"")</f>
        <v>0.99999900556846499</v>
      </c>
      <c r="O6" s="58">
        <f>IFERROR('CC examples - SME'!P6/'CC examples - SME'!O6,"")</f>
        <v>0.99959335378595093</v>
      </c>
      <c r="P6" s="58">
        <f>IFERROR('CC examples - SME'!Q6/'CC examples - SME'!P6,"")</f>
        <v>0.99902723254923242</v>
      </c>
      <c r="Q6" s="58">
        <f>IFERROR('CC examples - SME'!R6/'CC examples - SME'!Q6,"")</f>
        <v>1</v>
      </c>
      <c r="R6" s="58"/>
      <c r="S6" s="58" t="str">
        <f>IFERROR('CC examples - SME'!T6/'CC examples - SME'!S6,"")</f>
        <v/>
      </c>
      <c r="T6" s="58" t="str">
        <f>IFERROR('CC examples - SME'!U6/'CC examples - SME'!T6,"")</f>
        <v/>
      </c>
    </row>
    <row r="7" spans="1:20" x14ac:dyDescent="0.25">
      <c r="A7" t="s">
        <v>11</v>
      </c>
      <c r="B7" s="58">
        <f>IFERROR('CC examples - SME'!C7/'CC examples - SME'!B7,"")</f>
        <v>1.2677955587493486</v>
      </c>
      <c r="C7" s="58">
        <f>IFERROR('CC examples - SME'!D7/'CC examples - SME'!C7,"")</f>
        <v>0.97707315744726198</v>
      </c>
      <c r="D7" s="58">
        <f>IFERROR('CC examples - SME'!E7/'CC examples - SME'!D7,"")</f>
        <v>0.95562089028032926</v>
      </c>
      <c r="E7" s="58">
        <f>IFERROR('CC examples - SME'!F7/'CC examples - SME'!E7,"")</f>
        <v>1.0116305333937201</v>
      </c>
      <c r="F7" s="58">
        <f>IFERROR('CC examples - SME'!G7/'CC examples - SME'!F7,"")</f>
        <v>0.99305585837970023</v>
      </c>
      <c r="G7" s="58">
        <f>IFERROR('CC examples - SME'!H7/'CC examples - SME'!G7,"")</f>
        <v>0.99254972711754741</v>
      </c>
      <c r="H7" s="58">
        <f>IFERROR('CC examples - SME'!I7/'CC examples - SME'!H7,"")</f>
        <v>0.98990118871120047</v>
      </c>
      <c r="I7" s="58">
        <f>IFERROR('CC examples - SME'!J7/'CC examples - SME'!I7,"")</f>
        <v>0.99327356234437436</v>
      </c>
      <c r="J7" s="58">
        <f>IFERROR('CC examples - SME'!K7/'CC examples - SME'!J7,"")</f>
        <v>1.0060322447813901</v>
      </c>
      <c r="K7" s="58">
        <f>IFERROR('CC examples - SME'!L7/'CC examples - SME'!K7,"")</f>
        <v>0.99006886144908846</v>
      </c>
      <c r="L7" s="58">
        <f>IFERROR('CC examples - SME'!M7/'CC examples - SME'!L7,"")</f>
        <v>0.99989428935983593</v>
      </c>
      <c r="M7" s="58">
        <f>IFERROR('CC examples - SME'!N7/'CC examples - SME'!M7,"")</f>
        <v>0.9921530992783667</v>
      </c>
      <c r="N7" s="58">
        <f>IFERROR('CC examples - SME'!O7/'CC examples - SME'!N7,"")</f>
        <v>0.99808286945624647</v>
      </c>
      <c r="O7" s="58">
        <f>IFERROR('CC examples - SME'!P7/'CC examples - SME'!O7,"")</f>
        <v>1</v>
      </c>
      <c r="P7" s="58">
        <f>IFERROR('CC examples - SME'!Q7/'CC examples - SME'!P7,"")</f>
        <v>1</v>
      </c>
      <c r="Q7" s="58"/>
      <c r="R7" s="58" t="str">
        <f>IFERROR('CC examples - SME'!S7/'CC examples - SME'!R7,"")</f>
        <v/>
      </c>
      <c r="S7" s="58" t="str">
        <f>IFERROR('CC examples - SME'!T7/'CC examples - SME'!S7,"")</f>
        <v/>
      </c>
      <c r="T7" s="58" t="str">
        <f>IFERROR('CC examples - SME'!U7/'CC examples - SME'!T7,"")</f>
        <v/>
      </c>
    </row>
    <row r="8" spans="1:20" x14ac:dyDescent="0.25">
      <c r="A8" t="s">
        <v>12</v>
      </c>
      <c r="B8" s="58">
        <f>IFERROR('CC examples - SME'!C8/'CC examples - SME'!B8,"")</f>
        <v>1.3706751652842082</v>
      </c>
      <c r="C8" s="58">
        <f>IFERROR('CC examples - SME'!D8/'CC examples - SME'!C8,"")</f>
        <v>0.9837820003812715</v>
      </c>
      <c r="D8" s="58">
        <f>IFERROR('CC examples - SME'!E8/'CC examples - SME'!D8,"")</f>
        <v>0.97004930238947573</v>
      </c>
      <c r="E8" s="58">
        <f>IFERROR('CC examples - SME'!F8/'CC examples - SME'!E8,"")</f>
        <v>0.98763439222774174</v>
      </c>
      <c r="F8" s="58">
        <f>IFERROR('CC examples - SME'!G8/'CC examples - SME'!F8,"")</f>
        <v>0.99487682178687531</v>
      </c>
      <c r="G8" s="58">
        <f>IFERROR('CC examples - SME'!H8/'CC examples - SME'!G8,"")</f>
        <v>0.9863125148925358</v>
      </c>
      <c r="H8" s="58">
        <f>IFERROR('CC examples - SME'!I8/'CC examples - SME'!H8,"")</f>
        <v>0.99521105425621637</v>
      </c>
      <c r="I8" s="58">
        <f>IFERROR('CC examples - SME'!J8/'CC examples - SME'!I8,"")</f>
        <v>1.000602698996687</v>
      </c>
      <c r="J8" s="58">
        <f>IFERROR('CC examples - SME'!K8/'CC examples - SME'!J8,"")</f>
        <v>0.99882944278724639</v>
      </c>
      <c r="K8" s="58">
        <f>IFERROR('CC examples - SME'!L8/'CC examples - SME'!K8,"")</f>
        <v>1</v>
      </c>
      <c r="L8" s="58">
        <f>IFERROR('CC examples - SME'!M8/'CC examples - SME'!L8,"")</f>
        <v>0.99859539322294189</v>
      </c>
      <c r="M8" s="58">
        <f>IFERROR('CC examples - SME'!N8/'CC examples - SME'!M8,"")</f>
        <v>0.99625267594929434</v>
      </c>
      <c r="N8" s="58">
        <f>IFERROR('CC examples - SME'!O8/'CC examples - SME'!N8,"")</f>
        <v>0.99764723565334346</v>
      </c>
      <c r="O8" s="58">
        <f>IFERROR('CC examples - SME'!P8/'CC examples - SME'!O8,"")</f>
        <v>1</v>
      </c>
      <c r="P8" s="58"/>
      <c r="Q8" s="58" t="str">
        <f>IFERROR('CC examples - SME'!R8/'CC examples - SME'!Q8,"")</f>
        <v/>
      </c>
      <c r="R8" s="58" t="str">
        <f>IFERROR('CC examples - SME'!S8/'CC examples - SME'!R8,"")</f>
        <v/>
      </c>
      <c r="S8" s="58" t="str">
        <f>IFERROR('CC examples - SME'!T8/'CC examples - SME'!S8,"")</f>
        <v/>
      </c>
      <c r="T8" s="58" t="str">
        <f>IFERROR('CC examples - SME'!U8/'CC examples - SME'!T8,"")</f>
        <v/>
      </c>
    </row>
    <row r="9" spans="1:20" x14ac:dyDescent="0.25">
      <c r="A9" t="s">
        <v>13</v>
      </c>
      <c r="B9" s="58">
        <f>IFERROR('CC examples - SME'!C9/'CC examples - SME'!B9,"")</f>
        <v>1.3449206896622319</v>
      </c>
      <c r="C9" s="58">
        <f>IFERROR('CC examples - SME'!D9/'CC examples - SME'!C9,"")</f>
        <v>0.97425205329151821</v>
      </c>
      <c r="D9" s="58">
        <f>IFERROR('CC examples - SME'!E9/'CC examples - SME'!D9,"")</f>
        <v>0.99007642387031469</v>
      </c>
      <c r="E9" s="58">
        <f>IFERROR('CC examples - SME'!F9/'CC examples - SME'!E9,"")</f>
        <v>0.98885607732092273</v>
      </c>
      <c r="F9" s="58">
        <f>IFERROR('CC examples - SME'!G9/'CC examples - SME'!F9,"")</f>
        <v>0.98292189476674063</v>
      </c>
      <c r="G9" s="58">
        <f>IFERROR('CC examples - SME'!H9/'CC examples - SME'!G9,"")</f>
        <v>0.99405438684367464</v>
      </c>
      <c r="H9" s="58">
        <f>IFERROR('CC examples - SME'!I9/'CC examples - SME'!H9,"")</f>
        <v>0.99986292933829135</v>
      </c>
      <c r="I9" s="58">
        <f>IFERROR('CC examples - SME'!J9/'CC examples - SME'!I9,"")</f>
        <v>1.0067645840194619</v>
      </c>
      <c r="J9" s="58">
        <f>IFERROR('CC examples - SME'!K9/'CC examples - SME'!J9,"")</f>
        <v>0.99673557165064064</v>
      </c>
      <c r="K9" s="58">
        <f>IFERROR('CC examples - SME'!L9/'CC examples - SME'!K9,"")</f>
        <v>0.98928438615576375</v>
      </c>
      <c r="L9" s="58">
        <f>IFERROR('CC examples - SME'!M9/'CC examples - SME'!L9,"")</f>
        <v>1.0003676405139061</v>
      </c>
      <c r="M9" s="58">
        <f>IFERROR('CC examples - SME'!N9/'CC examples - SME'!M9,"")</f>
        <v>0.99959775527341954</v>
      </c>
      <c r="N9" s="58">
        <f>IFERROR('CC examples - SME'!O9/'CC examples - SME'!N9,"")</f>
        <v>0.99992683523508452</v>
      </c>
      <c r="O9" s="58"/>
      <c r="P9" s="58" t="str">
        <f>IFERROR('CC examples - SME'!Q9/'CC examples - SME'!P9,"")</f>
        <v/>
      </c>
      <c r="Q9" s="58" t="str">
        <f>IFERROR('CC examples - SME'!R9/'CC examples - SME'!Q9,"")</f>
        <v/>
      </c>
      <c r="R9" s="58" t="str">
        <f>IFERROR('CC examples - SME'!S9/'CC examples - SME'!R9,"")</f>
        <v/>
      </c>
      <c r="S9" s="58" t="str">
        <f>IFERROR('CC examples - SME'!T9/'CC examples - SME'!S9,"")</f>
        <v/>
      </c>
      <c r="T9" s="58" t="str">
        <f>IFERROR('CC examples - SME'!U9/'CC examples - SME'!T9,"")</f>
        <v/>
      </c>
    </row>
    <row r="10" spans="1:20" x14ac:dyDescent="0.25">
      <c r="A10" t="s">
        <v>14</v>
      </c>
      <c r="B10" s="58">
        <f>IFERROR('CC examples - SME'!C10/'CC examples - SME'!B10,"")</f>
        <v>1.5318430833032903</v>
      </c>
      <c r="C10" s="58">
        <f>IFERROR('CC examples - SME'!D10/'CC examples - SME'!C10,"")</f>
        <v>0.99859961237795924</v>
      </c>
      <c r="D10" s="58">
        <f>IFERROR('CC examples - SME'!E10/'CC examples - SME'!D10,"")</f>
        <v>0.99871096262353676</v>
      </c>
      <c r="E10" s="58">
        <f>IFERROR('CC examples - SME'!F10/'CC examples - SME'!E10,"")</f>
        <v>0.99223266741413674</v>
      </c>
      <c r="F10" s="58">
        <f>IFERROR('CC examples - SME'!G10/'CC examples - SME'!F10,"")</f>
        <v>0.99932119237318817</v>
      </c>
      <c r="G10" s="58">
        <f>IFERROR('CC examples - SME'!H10/'CC examples - SME'!G10,"")</f>
        <v>0.99948763320982836</v>
      </c>
      <c r="H10" s="58">
        <f>IFERROR('CC examples - SME'!I10/'CC examples - SME'!H10,"")</f>
        <v>0.9971495469491275</v>
      </c>
      <c r="I10" s="58">
        <f>IFERROR('CC examples - SME'!J10/'CC examples - SME'!I10,"")</f>
        <v>1.0003064093507126</v>
      </c>
      <c r="J10" s="58">
        <f>IFERROR('CC examples - SME'!K10/'CC examples - SME'!J10,"")</f>
        <v>0.99602594118581189</v>
      </c>
      <c r="K10" s="58">
        <f>IFERROR('CC examples - SME'!L10/'CC examples - SME'!K10,"")</f>
        <v>1</v>
      </c>
      <c r="L10" s="58">
        <f>IFERROR('CC examples - SME'!M10/'CC examples - SME'!L10,"")</f>
        <v>1.0052905276755983</v>
      </c>
      <c r="M10" s="58">
        <f>IFERROR('CC examples - SME'!N10/'CC examples - SME'!M10,"")</f>
        <v>0.99934289443920155</v>
      </c>
      <c r="N10" s="58"/>
      <c r="O10" s="58" t="str">
        <f>IFERROR('CC examples - SME'!P10/'CC examples - SME'!O10,"")</f>
        <v/>
      </c>
      <c r="P10" s="58" t="str">
        <f>IFERROR('CC examples - SME'!Q10/'CC examples - SME'!P10,"")</f>
        <v/>
      </c>
      <c r="Q10" s="58" t="str">
        <f>IFERROR('CC examples - SME'!R10/'CC examples - SME'!Q10,"")</f>
        <v/>
      </c>
      <c r="R10" s="58" t="str">
        <f>IFERROR('CC examples - SME'!S10/'CC examples - SME'!R10,"")</f>
        <v/>
      </c>
      <c r="S10" s="58" t="str">
        <f>IFERROR('CC examples - SME'!T10/'CC examples - SME'!S10,"")</f>
        <v/>
      </c>
      <c r="T10" s="58" t="str">
        <f>IFERROR('CC examples - SME'!U10/'CC examples - SME'!T10,"")</f>
        <v/>
      </c>
    </row>
    <row r="11" spans="1:20" x14ac:dyDescent="0.25">
      <c r="A11" t="s">
        <v>15</v>
      </c>
      <c r="B11" s="58">
        <f>IFERROR('CC examples - SME'!C11/'CC examples - SME'!B11,"")</f>
        <v>1.6364101904746147</v>
      </c>
      <c r="C11" s="58">
        <f>IFERROR('CC examples - SME'!D11/'CC examples - SME'!C11,"")</f>
        <v>1.0093039437310347</v>
      </c>
      <c r="D11" s="58">
        <f>IFERROR('CC examples - SME'!E11/'CC examples - SME'!D11,"")</f>
        <v>0.99187959865663411</v>
      </c>
      <c r="E11" s="58">
        <f>IFERROR('CC examples - SME'!F11/'CC examples - SME'!E11,"")</f>
        <v>1.0072840165461088</v>
      </c>
      <c r="F11" s="58">
        <f>IFERROR('CC examples - SME'!G11/'CC examples - SME'!F11,"")</f>
        <v>1.0052953184035773</v>
      </c>
      <c r="G11" s="58">
        <f>IFERROR('CC examples - SME'!H11/'CC examples - SME'!G11,"")</f>
        <v>0.99081589087622823</v>
      </c>
      <c r="H11" s="58">
        <f>IFERROR('CC examples - SME'!I11/'CC examples - SME'!H11,"")</f>
        <v>1.0014565720608826</v>
      </c>
      <c r="I11" s="58">
        <f>IFERROR('CC examples - SME'!J11/'CC examples - SME'!I11,"")</f>
        <v>0.99153542757677615</v>
      </c>
      <c r="J11" s="58">
        <f>IFERROR('CC examples - SME'!K11/'CC examples - SME'!J11,"")</f>
        <v>0.9984893311223495</v>
      </c>
      <c r="K11" s="58">
        <f>IFERROR('CC examples - SME'!L11/'CC examples - SME'!K11,"")</f>
        <v>0.9991370494740196</v>
      </c>
      <c r="L11" s="58">
        <f>IFERROR('CC examples - SME'!M11/'CC examples - SME'!L11,"")</f>
        <v>1.0011103520406557</v>
      </c>
      <c r="M11" s="58"/>
      <c r="N11" s="58" t="str">
        <f>IFERROR('CC examples - SME'!O11/'CC examples - SME'!N11,"")</f>
        <v/>
      </c>
      <c r="O11" s="58" t="str">
        <f>IFERROR('CC examples - SME'!P11/'CC examples - SME'!O11,"")</f>
        <v/>
      </c>
      <c r="P11" s="58" t="str">
        <f>IFERROR('CC examples - SME'!Q11/'CC examples - SME'!P11,"")</f>
        <v/>
      </c>
      <c r="Q11" s="58" t="str">
        <f>IFERROR('CC examples - SME'!R11/'CC examples - SME'!Q11,"")</f>
        <v/>
      </c>
      <c r="R11" s="58" t="str">
        <f>IFERROR('CC examples - SME'!S11/'CC examples - SME'!R11,"")</f>
        <v/>
      </c>
      <c r="S11" s="58" t="str">
        <f>IFERROR('CC examples - SME'!T11/'CC examples - SME'!S11,"")</f>
        <v/>
      </c>
      <c r="T11" s="58" t="str">
        <f>IFERROR('CC examples - SME'!U11/'CC examples - SME'!T11,"")</f>
        <v/>
      </c>
    </row>
    <row r="12" spans="1:20" x14ac:dyDescent="0.25">
      <c r="A12" t="s">
        <v>16</v>
      </c>
      <c r="B12" s="58">
        <f>IFERROR('CC examples - SME'!C12/'CC examples - SME'!B12,"")</f>
        <v>1.3674226146984076</v>
      </c>
      <c r="C12" s="58">
        <f>IFERROR('CC examples - SME'!D12/'CC examples - SME'!C12,"")</f>
        <v>0.94036260821844431</v>
      </c>
      <c r="D12" s="58">
        <f>IFERROR('CC examples - SME'!E12/'CC examples - SME'!D12,"")</f>
        <v>0.99688447189587825</v>
      </c>
      <c r="E12" s="58">
        <f>IFERROR('CC examples - SME'!F12/'CC examples - SME'!E12,"")</f>
        <v>1.0017768950892985</v>
      </c>
      <c r="F12" s="58">
        <f>IFERROR('CC examples - SME'!G12/'CC examples - SME'!F12,"")</f>
        <v>0.99297533195568777</v>
      </c>
      <c r="G12" s="58">
        <f>IFERROR('CC examples - SME'!H12/'CC examples - SME'!G12,"")</f>
        <v>0.99252384909600655</v>
      </c>
      <c r="H12" s="58">
        <f>IFERROR('CC examples - SME'!I12/'CC examples - SME'!H12,"")</f>
        <v>0.99369487009308477</v>
      </c>
      <c r="I12" s="58">
        <f>IFERROR('CC examples - SME'!J12/'CC examples - SME'!I12,"")</f>
        <v>1.0026328512732077</v>
      </c>
      <c r="J12" s="58">
        <f>IFERROR('CC examples - SME'!K12/'CC examples - SME'!J12,"")</f>
        <v>0.98924521560401157</v>
      </c>
      <c r="K12" s="58">
        <f>IFERROR('CC examples - SME'!L12/'CC examples - SME'!K12,"")</f>
        <v>0.99914801794304497</v>
      </c>
      <c r="L12" s="58"/>
      <c r="M12" s="58" t="str">
        <f>IFERROR('CC examples - SME'!N12/'CC examples - SME'!M12,"")</f>
        <v/>
      </c>
      <c r="N12" s="58" t="str">
        <f>IFERROR('CC examples - SME'!O12/'CC examples - SME'!N12,"")</f>
        <v/>
      </c>
      <c r="O12" s="58" t="str">
        <f>IFERROR('CC examples - SME'!P12/'CC examples - SME'!O12,"")</f>
        <v/>
      </c>
      <c r="P12" s="58" t="str">
        <f>IFERROR('CC examples - SME'!Q12/'CC examples - SME'!P12,"")</f>
        <v/>
      </c>
      <c r="Q12" s="58" t="str">
        <f>IFERROR('CC examples - SME'!R12/'CC examples - SME'!Q12,"")</f>
        <v/>
      </c>
      <c r="R12" s="58" t="str">
        <f>IFERROR('CC examples - SME'!S12/'CC examples - SME'!R12,"")</f>
        <v/>
      </c>
      <c r="S12" s="58" t="str">
        <f>IFERROR('CC examples - SME'!T12/'CC examples - SME'!S12,"")</f>
        <v/>
      </c>
      <c r="T12" s="58" t="str">
        <f>IFERROR('CC examples - SME'!U12/'CC examples - SME'!T12,"")</f>
        <v/>
      </c>
    </row>
    <row r="13" spans="1:20" x14ac:dyDescent="0.25">
      <c r="A13" t="s">
        <v>17</v>
      </c>
      <c r="B13" s="58">
        <f>IFERROR('CC examples - SME'!C13/'CC examples - SME'!B13,"")</f>
        <v>1.4307753915031001</v>
      </c>
      <c r="C13" s="58">
        <f>IFERROR('CC examples - SME'!D13/'CC examples - SME'!C13,"")</f>
        <v>1.0079463221468139</v>
      </c>
      <c r="D13" s="58">
        <f>IFERROR('CC examples - SME'!E13/'CC examples - SME'!D13,"")</f>
        <v>0.9731876242788644</v>
      </c>
      <c r="E13" s="58">
        <f>IFERROR('CC examples - SME'!F13/'CC examples - SME'!E13,"")</f>
        <v>0.99063576049506907</v>
      </c>
      <c r="F13" s="58">
        <f>IFERROR('CC examples - SME'!G13/'CC examples - SME'!F13,"")</f>
        <v>0.9766768890555827</v>
      </c>
      <c r="G13" s="58">
        <f>IFERROR('CC examples - SME'!H13/'CC examples - SME'!G13,"")</f>
        <v>0.97707362851576551</v>
      </c>
      <c r="H13" s="58">
        <f>IFERROR('CC examples - SME'!I13/'CC examples - SME'!H13,"")</f>
        <v>0.99627122328923146</v>
      </c>
      <c r="I13" s="58">
        <f>IFERROR('CC examples - SME'!J13/'CC examples - SME'!I13,"")</f>
        <v>0.96832571071263052</v>
      </c>
      <c r="J13" s="58">
        <f>IFERROR('CC examples - SME'!K13/'CC examples - SME'!J13,"")</f>
        <v>1.006336908065053</v>
      </c>
      <c r="K13" s="58"/>
      <c r="L13" s="58" t="str">
        <f>IFERROR('CC examples - SME'!M13/'CC examples - SME'!L13,"")</f>
        <v/>
      </c>
      <c r="M13" s="58" t="str">
        <f>IFERROR('CC examples - SME'!N13/'CC examples - SME'!M13,"")</f>
        <v/>
      </c>
      <c r="N13" s="58" t="str">
        <f>IFERROR('CC examples - SME'!O13/'CC examples - SME'!N13,"")</f>
        <v/>
      </c>
      <c r="O13" s="58" t="str">
        <f>IFERROR('CC examples - SME'!P13/'CC examples - SME'!O13,"")</f>
        <v/>
      </c>
      <c r="P13" s="58" t="str">
        <f>IFERROR('CC examples - SME'!Q13/'CC examples - SME'!P13,"")</f>
        <v/>
      </c>
      <c r="Q13" s="58" t="str">
        <f>IFERROR('CC examples - SME'!R13/'CC examples - SME'!Q13,"")</f>
        <v/>
      </c>
      <c r="R13" s="58" t="str">
        <f>IFERROR('CC examples - SME'!S13/'CC examples - SME'!R13,"")</f>
        <v/>
      </c>
      <c r="S13" s="58" t="str">
        <f>IFERROR('CC examples - SME'!T13/'CC examples - SME'!S13,"")</f>
        <v/>
      </c>
      <c r="T13" s="58" t="str">
        <f>IFERROR('CC examples - SME'!U13/'CC examples - SME'!T13,"")</f>
        <v/>
      </c>
    </row>
    <row r="14" spans="1:20" x14ac:dyDescent="0.25">
      <c r="A14" t="s">
        <v>18</v>
      </c>
      <c r="B14" s="58">
        <f>IFERROR('CC examples - SME'!C14/'CC examples - SME'!B14,"")</f>
        <v>1.5250153472236931</v>
      </c>
      <c r="C14" s="58">
        <f>IFERROR('CC examples - SME'!D14/'CC examples - SME'!C14,"")</f>
        <v>1.0229394832847143</v>
      </c>
      <c r="D14" s="58">
        <f>IFERROR('CC examples - SME'!E14/'CC examples - SME'!D14,"")</f>
        <v>0.99117155279238112</v>
      </c>
      <c r="E14" s="58">
        <f>IFERROR('CC examples - SME'!F14/'CC examples - SME'!E14,"")</f>
        <v>0.99717950738515493</v>
      </c>
      <c r="F14" s="58">
        <f>IFERROR('CC examples - SME'!G14/'CC examples - SME'!F14,"")</f>
        <v>0.98130107390360455</v>
      </c>
      <c r="G14" s="58">
        <f>IFERROR('CC examples - SME'!H14/'CC examples - SME'!G14,"")</f>
        <v>0.99700064880337114</v>
      </c>
      <c r="H14" s="58">
        <f>IFERROR('CC examples - SME'!I14/'CC examples - SME'!H14,"")</f>
        <v>0.98880502403281645</v>
      </c>
      <c r="I14" s="58">
        <f>IFERROR('CC examples - SME'!J14/'CC examples - SME'!I14,"")</f>
        <v>1.0101611286809138</v>
      </c>
      <c r="J14" s="58"/>
      <c r="K14" s="58" t="str">
        <f>IFERROR('CC examples - SME'!L14/'CC examples - SME'!K14,"")</f>
        <v/>
      </c>
      <c r="L14" s="58" t="str">
        <f>IFERROR('CC examples - SME'!M14/'CC examples - SME'!L14,"")</f>
        <v/>
      </c>
      <c r="M14" s="58" t="str">
        <f>IFERROR('CC examples - SME'!N14/'CC examples - SME'!M14,"")</f>
        <v/>
      </c>
      <c r="N14" s="58" t="str">
        <f>IFERROR('CC examples - SME'!O14/'CC examples - SME'!N14,"")</f>
        <v/>
      </c>
      <c r="O14" s="58" t="str">
        <f>IFERROR('CC examples - SME'!P14/'CC examples - SME'!O14,"")</f>
        <v/>
      </c>
      <c r="P14" s="58" t="str">
        <f>IFERROR('CC examples - SME'!Q14/'CC examples - SME'!P14,"")</f>
        <v/>
      </c>
      <c r="Q14" s="58" t="str">
        <f>IFERROR('CC examples - SME'!R14/'CC examples - SME'!Q14,"")</f>
        <v/>
      </c>
      <c r="R14" s="58" t="str">
        <f>IFERROR('CC examples - SME'!S14/'CC examples - SME'!R14,"")</f>
        <v/>
      </c>
      <c r="S14" s="58" t="str">
        <f>IFERROR('CC examples - SME'!T14/'CC examples - SME'!S14,"")</f>
        <v/>
      </c>
      <c r="T14" s="58" t="str">
        <f>IFERROR('CC examples - SME'!U14/'CC examples - SME'!T14,"")</f>
        <v/>
      </c>
    </row>
    <row r="15" spans="1:20" x14ac:dyDescent="0.25">
      <c r="A15" t="s">
        <v>19</v>
      </c>
      <c r="B15" s="58">
        <f>IFERROR('CC examples - SME'!C15/'CC examples - SME'!B15,"")</f>
        <v>1.5122123496216116</v>
      </c>
      <c r="C15" s="58">
        <f>IFERROR('CC examples - SME'!D15/'CC examples - SME'!C15,"")</f>
        <v>0.98725626779757136</v>
      </c>
      <c r="D15" s="58">
        <f>IFERROR('CC examples - SME'!E15/'CC examples - SME'!D15,"")</f>
        <v>1.0022498133993483</v>
      </c>
      <c r="E15" s="58">
        <f>IFERROR('CC examples - SME'!F15/'CC examples - SME'!E15,"")</f>
        <v>0.99883378928291611</v>
      </c>
      <c r="F15" s="58">
        <f>IFERROR('CC examples - SME'!G15/'CC examples - SME'!F15,"")</f>
        <v>0.97030132143911552</v>
      </c>
      <c r="G15" s="58">
        <f>IFERROR('CC examples - SME'!H15/'CC examples - SME'!G15,"")</f>
        <v>0.99119488174572978</v>
      </c>
      <c r="H15" s="58">
        <f>IFERROR('CC examples - SME'!I15/'CC examples - SME'!H15,"")</f>
        <v>1.0006584817154025</v>
      </c>
      <c r="I15" s="58"/>
      <c r="J15" s="58" t="str">
        <f>IFERROR('CC examples - SME'!K15/'CC examples - SME'!J15,"")</f>
        <v/>
      </c>
      <c r="K15" s="58" t="str">
        <f>IFERROR('CC examples - SME'!L15/'CC examples - SME'!K15,"")</f>
        <v/>
      </c>
      <c r="L15" s="58" t="str">
        <f>IFERROR('CC examples - SME'!M15/'CC examples - SME'!L15,"")</f>
        <v/>
      </c>
      <c r="M15" s="58" t="str">
        <f>IFERROR('CC examples - SME'!N15/'CC examples - SME'!M15,"")</f>
        <v/>
      </c>
      <c r="N15" s="58" t="str">
        <f>IFERROR('CC examples - SME'!O15/'CC examples - SME'!N15,"")</f>
        <v/>
      </c>
      <c r="O15" s="58" t="str">
        <f>IFERROR('CC examples - SME'!P15/'CC examples - SME'!O15,"")</f>
        <v/>
      </c>
      <c r="P15" s="58" t="str">
        <f>IFERROR('CC examples - SME'!Q15/'CC examples - SME'!P15,"")</f>
        <v/>
      </c>
      <c r="Q15" s="58" t="str">
        <f>IFERROR('CC examples - SME'!R15/'CC examples - SME'!Q15,"")</f>
        <v/>
      </c>
      <c r="R15" s="58" t="str">
        <f>IFERROR('CC examples - SME'!S15/'CC examples - SME'!R15,"")</f>
        <v/>
      </c>
      <c r="S15" s="58" t="str">
        <f>IFERROR('CC examples - SME'!T15/'CC examples - SME'!S15,"")</f>
        <v/>
      </c>
      <c r="T15" s="58" t="str">
        <f>IFERROR('CC examples - SME'!U15/'CC examples - SME'!T15,"")</f>
        <v/>
      </c>
    </row>
    <row r="16" spans="1:20" x14ac:dyDescent="0.25">
      <c r="A16" t="s">
        <v>20</v>
      </c>
      <c r="B16" s="58">
        <f>IFERROR('CC examples - SME'!C16/'CC examples - SME'!B16,"")</f>
        <v>1.3164463450596842</v>
      </c>
      <c r="C16" s="58">
        <f>IFERROR('CC examples - SME'!D16/'CC examples - SME'!C16,"")</f>
        <v>0.98445557337967515</v>
      </c>
      <c r="D16" s="58">
        <f>IFERROR('CC examples - SME'!E16/'CC examples - SME'!D16,"")</f>
        <v>1.0025003777754284</v>
      </c>
      <c r="E16" s="58">
        <f>IFERROR('CC examples - SME'!F16/'CC examples - SME'!E16,"")</f>
        <v>0.9971937547367884</v>
      </c>
      <c r="F16" s="58">
        <f>IFERROR('CC examples - SME'!G16/'CC examples - SME'!F16,"")</f>
        <v>0.99777045068754278</v>
      </c>
      <c r="G16" s="58">
        <f>IFERROR('CC examples - SME'!H16/'CC examples - SME'!G16,"")</f>
        <v>0.99958987014265943</v>
      </c>
      <c r="H16" s="58"/>
      <c r="I16" s="58" t="str">
        <f>IFERROR('CC examples - SME'!J16/'CC examples - SME'!I16,"")</f>
        <v/>
      </c>
      <c r="J16" s="58" t="str">
        <f>IFERROR('CC examples - SME'!K16/'CC examples - SME'!J16,"")</f>
        <v/>
      </c>
      <c r="K16" s="58" t="str">
        <f>IFERROR('CC examples - SME'!L16/'CC examples - SME'!K16,"")</f>
        <v/>
      </c>
      <c r="L16" s="58" t="str">
        <f>IFERROR('CC examples - SME'!M16/'CC examples - SME'!L16,"")</f>
        <v/>
      </c>
      <c r="M16" s="58" t="str">
        <f>IFERROR('CC examples - SME'!N16/'CC examples - SME'!M16,"")</f>
        <v/>
      </c>
      <c r="N16" s="58" t="str">
        <f>IFERROR('CC examples - SME'!O16/'CC examples - SME'!N16,"")</f>
        <v/>
      </c>
      <c r="O16" s="58" t="str">
        <f>IFERROR('CC examples - SME'!P16/'CC examples - SME'!O16,"")</f>
        <v/>
      </c>
      <c r="P16" s="58" t="str">
        <f>IFERROR('CC examples - SME'!Q16/'CC examples - SME'!P16,"")</f>
        <v/>
      </c>
      <c r="Q16" s="58" t="str">
        <f>IFERROR('CC examples - SME'!R16/'CC examples - SME'!Q16,"")</f>
        <v/>
      </c>
      <c r="R16" s="58" t="str">
        <f>IFERROR('CC examples - SME'!S16/'CC examples - SME'!R16,"")</f>
        <v/>
      </c>
      <c r="S16" s="58" t="str">
        <f>IFERROR('CC examples - SME'!T16/'CC examples - SME'!S16,"")</f>
        <v/>
      </c>
      <c r="T16" s="58" t="str">
        <f>IFERROR('CC examples - SME'!U16/'CC examples - SME'!T16,"")</f>
        <v/>
      </c>
    </row>
    <row r="17" spans="1:21" x14ac:dyDescent="0.25">
      <c r="A17" t="s">
        <v>21</v>
      </c>
      <c r="B17" s="58">
        <f>IFERROR('CC examples - SME'!C17/'CC examples - SME'!B17,"")</f>
        <v>1.4704187823554415</v>
      </c>
      <c r="C17" s="58">
        <f>IFERROR('CC examples - SME'!D17/'CC examples - SME'!C17,"")</f>
        <v>0.97254234509777349</v>
      </c>
      <c r="D17" s="58">
        <f>IFERROR('CC examples - SME'!E17/'CC examples - SME'!D17,"")</f>
        <v>0.98545256763908817</v>
      </c>
      <c r="E17" s="58">
        <f>IFERROR('CC examples - SME'!F17/'CC examples - SME'!E17,"")</f>
        <v>0.98634336124877686</v>
      </c>
      <c r="F17" s="58">
        <f>IFERROR('CC examples - SME'!G17/'CC examples - SME'!F17,"")</f>
        <v>0.997350712152279</v>
      </c>
      <c r="G17" s="58"/>
      <c r="H17" s="58" t="str">
        <f>IFERROR('CC examples - SME'!I17/'CC examples - SME'!H17,"")</f>
        <v/>
      </c>
      <c r="I17" s="58" t="str">
        <f>IFERROR('CC examples - SME'!J17/'CC examples - SME'!I17,"")</f>
        <v/>
      </c>
      <c r="J17" s="58" t="str">
        <f>IFERROR('CC examples - SME'!K17/'CC examples - SME'!J17,"")</f>
        <v/>
      </c>
      <c r="K17" s="58" t="str">
        <f>IFERROR('CC examples - SME'!L17/'CC examples - SME'!K17,"")</f>
        <v/>
      </c>
      <c r="L17" s="58" t="str">
        <f>IFERROR('CC examples - SME'!M17/'CC examples - SME'!L17,"")</f>
        <v/>
      </c>
      <c r="M17" s="58" t="str">
        <f>IFERROR('CC examples - SME'!N17/'CC examples - SME'!M17,"")</f>
        <v/>
      </c>
      <c r="N17" s="58" t="str">
        <f>IFERROR('CC examples - SME'!O17/'CC examples - SME'!N17,"")</f>
        <v/>
      </c>
      <c r="O17" s="58" t="str">
        <f>IFERROR('CC examples - SME'!P17/'CC examples - SME'!O17,"")</f>
        <v/>
      </c>
      <c r="P17" s="58" t="str">
        <f>IFERROR('CC examples - SME'!Q17/'CC examples - SME'!P17,"")</f>
        <v/>
      </c>
      <c r="Q17" s="58" t="str">
        <f>IFERROR('CC examples - SME'!R17/'CC examples - SME'!Q17,"")</f>
        <v/>
      </c>
      <c r="R17" s="58" t="str">
        <f>IFERROR('CC examples - SME'!S17/'CC examples - SME'!R17,"")</f>
        <v/>
      </c>
      <c r="S17" s="58" t="str">
        <f>IFERROR('CC examples - SME'!T17/'CC examples - SME'!S17,"")</f>
        <v/>
      </c>
      <c r="T17" s="58" t="str">
        <f>IFERROR('CC examples - SME'!U17/'CC examples - SME'!T17,"")</f>
        <v/>
      </c>
    </row>
    <row r="18" spans="1:21" x14ac:dyDescent="0.25">
      <c r="A18" t="s">
        <v>22</v>
      </c>
      <c r="B18" s="58">
        <f>IFERROR('CC examples - SME'!C18/'CC examples - SME'!B18,"")</f>
        <v>1.6109906372177631</v>
      </c>
      <c r="C18" s="58">
        <f>IFERROR('CC examples - SME'!D18/'CC examples - SME'!C18,"")</f>
        <v>1.0475439751926876</v>
      </c>
      <c r="D18" s="58">
        <f>IFERROR('CC examples - SME'!E18/'CC examples - SME'!D18,"")</f>
        <v>1.0051467369710925</v>
      </c>
      <c r="E18" s="58">
        <f>IFERROR('CC examples - SME'!F18/'CC examples - SME'!E18,"")</f>
        <v>0.99155708386060137</v>
      </c>
      <c r="F18" s="58"/>
      <c r="G18" s="58" t="str">
        <f>IFERROR('CC examples - SME'!H18/'CC examples - SME'!G18,"")</f>
        <v/>
      </c>
      <c r="H18" s="58" t="str">
        <f>IFERROR('CC examples - SME'!I18/'CC examples - SME'!H18,"")</f>
        <v/>
      </c>
      <c r="I18" s="58" t="str">
        <f>IFERROR('CC examples - SME'!J18/'CC examples - SME'!I18,"")</f>
        <v/>
      </c>
      <c r="J18" s="58" t="str">
        <f>IFERROR('CC examples - SME'!K18/'CC examples - SME'!J18,"")</f>
        <v/>
      </c>
      <c r="K18" s="58" t="str">
        <f>IFERROR('CC examples - SME'!L18/'CC examples - SME'!K18,"")</f>
        <v/>
      </c>
      <c r="L18" s="58" t="str">
        <f>IFERROR('CC examples - SME'!M18/'CC examples - SME'!L18,"")</f>
        <v/>
      </c>
      <c r="M18" s="58" t="str">
        <f>IFERROR('CC examples - SME'!N18/'CC examples - SME'!M18,"")</f>
        <v/>
      </c>
      <c r="N18" s="58" t="str">
        <f>IFERROR('CC examples - SME'!O18/'CC examples - SME'!N18,"")</f>
        <v/>
      </c>
      <c r="O18" s="58" t="str">
        <f>IFERROR('CC examples - SME'!P18/'CC examples - SME'!O18,"")</f>
        <v/>
      </c>
      <c r="P18" s="58" t="str">
        <f>IFERROR('CC examples - SME'!Q18/'CC examples - SME'!P18,"")</f>
        <v/>
      </c>
      <c r="Q18" s="58" t="str">
        <f>IFERROR('CC examples - SME'!R18/'CC examples - SME'!Q18,"")</f>
        <v/>
      </c>
      <c r="R18" s="58" t="str">
        <f>IFERROR('CC examples - SME'!S18/'CC examples - SME'!R18,"")</f>
        <v/>
      </c>
      <c r="S18" s="58" t="str">
        <f>IFERROR('CC examples - SME'!T18/'CC examples - SME'!S18,"")</f>
        <v/>
      </c>
      <c r="T18" s="58" t="str">
        <f>IFERROR('CC examples - SME'!U18/'CC examples - SME'!T18,"")</f>
        <v/>
      </c>
    </row>
    <row r="19" spans="1:21" x14ac:dyDescent="0.25">
      <c r="A19" t="s">
        <v>23</v>
      </c>
      <c r="B19" s="58">
        <f>IFERROR('CC examples - SME'!C19/'CC examples - SME'!B19,"")</f>
        <v>1.8077276905103004</v>
      </c>
      <c r="C19" s="58">
        <f>IFERROR('CC examples - SME'!D19/'CC examples - SME'!C19,"")</f>
        <v>1.0671501272322301</v>
      </c>
      <c r="D19" s="58">
        <f>IFERROR('CC examples - SME'!E19/'CC examples - SME'!D19,"")</f>
        <v>1.0150205625279476</v>
      </c>
      <c r="E19" s="58"/>
      <c r="F19" s="58" t="str">
        <f>IFERROR('CC examples - SME'!G19/'CC examples - SME'!F19,"")</f>
        <v/>
      </c>
      <c r="G19" s="58" t="str">
        <f>IFERROR('CC examples - SME'!H19/'CC examples - SME'!G19,"")</f>
        <v/>
      </c>
      <c r="H19" s="58" t="str">
        <f>IFERROR('CC examples - SME'!I19/'CC examples - SME'!H19,"")</f>
        <v/>
      </c>
      <c r="I19" s="58" t="str">
        <f>IFERROR('CC examples - SME'!J19/'CC examples - SME'!I19,"")</f>
        <v/>
      </c>
      <c r="J19" s="58" t="str">
        <f>IFERROR('CC examples - SME'!K19/'CC examples - SME'!J19,"")</f>
        <v/>
      </c>
      <c r="K19" s="58" t="str">
        <f>IFERROR('CC examples - SME'!L19/'CC examples - SME'!K19,"")</f>
        <v/>
      </c>
      <c r="L19" s="58" t="str">
        <f>IFERROR('CC examples - SME'!M19/'CC examples - SME'!L19,"")</f>
        <v/>
      </c>
      <c r="M19" s="58" t="str">
        <f>IFERROR('CC examples - SME'!N19/'CC examples - SME'!M19,"")</f>
        <v/>
      </c>
      <c r="N19" s="58" t="str">
        <f>IFERROR('CC examples - SME'!O19/'CC examples - SME'!N19,"")</f>
        <v/>
      </c>
      <c r="O19" s="58" t="str">
        <f>IFERROR('CC examples - SME'!P19/'CC examples - SME'!O19,"")</f>
        <v/>
      </c>
      <c r="P19" s="58" t="str">
        <f>IFERROR('CC examples - SME'!Q19/'CC examples - SME'!P19,"")</f>
        <v/>
      </c>
      <c r="Q19" s="58" t="str">
        <f>IFERROR('CC examples - SME'!R19/'CC examples - SME'!Q19,"")</f>
        <v/>
      </c>
      <c r="R19" s="58" t="str">
        <f>IFERROR('CC examples - SME'!S19/'CC examples - SME'!R19,"")</f>
        <v/>
      </c>
      <c r="S19" s="58" t="str">
        <f>IFERROR('CC examples - SME'!T19/'CC examples - SME'!S19,"")</f>
        <v/>
      </c>
      <c r="T19" s="58" t="str">
        <f>IFERROR('CC examples - SME'!U19/'CC examples - SME'!T19,"")</f>
        <v/>
      </c>
    </row>
    <row r="20" spans="1:21" x14ac:dyDescent="0.25">
      <c r="A20" t="s">
        <v>24</v>
      </c>
      <c r="B20" s="58">
        <f>IFERROR('CC examples - SME'!C20/'CC examples - SME'!B20,"")</f>
        <v>1.5913878727354949</v>
      </c>
      <c r="C20" s="58">
        <f>IFERROR('CC examples - SME'!D20/'CC examples - SME'!C20,"")</f>
        <v>1.0940175183055574</v>
      </c>
      <c r="D20" s="58"/>
      <c r="E20" s="58" t="str">
        <f>IFERROR('CC examples - SME'!F20/'CC examples - SME'!E20,"")</f>
        <v/>
      </c>
      <c r="F20" s="58" t="str">
        <f>IFERROR('CC examples - SME'!G20/'CC examples - SME'!F20,"")</f>
        <v/>
      </c>
      <c r="G20" s="58" t="str">
        <f>IFERROR('CC examples - SME'!H20/'CC examples - SME'!G20,"")</f>
        <v/>
      </c>
      <c r="H20" s="58" t="str">
        <f>IFERROR('CC examples - SME'!I20/'CC examples - SME'!H20,"")</f>
        <v/>
      </c>
      <c r="I20" s="58" t="str">
        <f>IFERROR('CC examples - SME'!J20/'CC examples - SME'!I20,"")</f>
        <v/>
      </c>
      <c r="J20" s="58" t="str">
        <f>IFERROR('CC examples - SME'!K20/'CC examples - SME'!J20,"")</f>
        <v/>
      </c>
      <c r="K20" s="58" t="str">
        <f>IFERROR('CC examples - SME'!L20/'CC examples - SME'!K20,"")</f>
        <v/>
      </c>
      <c r="L20" s="58" t="str">
        <f>IFERROR('CC examples - SME'!M20/'CC examples - SME'!L20,"")</f>
        <v/>
      </c>
      <c r="M20" s="58" t="str">
        <f>IFERROR('CC examples - SME'!N20/'CC examples - SME'!M20,"")</f>
        <v/>
      </c>
      <c r="N20" s="58" t="str">
        <f>IFERROR('CC examples - SME'!O20/'CC examples - SME'!N20,"")</f>
        <v/>
      </c>
      <c r="O20" s="58" t="str">
        <f>IFERROR('CC examples - SME'!P20/'CC examples - SME'!O20,"")</f>
        <v/>
      </c>
      <c r="P20" s="58" t="str">
        <f>IFERROR('CC examples - SME'!Q20/'CC examples - SME'!P20,"")</f>
        <v/>
      </c>
      <c r="Q20" s="58" t="str">
        <f>IFERROR('CC examples - SME'!R20/'CC examples - SME'!Q20,"")</f>
        <v/>
      </c>
      <c r="R20" s="58" t="str">
        <f>IFERROR('CC examples - SME'!S20/'CC examples - SME'!R20,"")</f>
        <v/>
      </c>
      <c r="S20" s="58" t="str">
        <f>IFERROR('CC examples - SME'!T20/'CC examples - SME'!S20,"")</f>
        <v/>
      </c>
      <c r="T20" s="58" t="str">
        <f>IFERROR('CC examples - SME'!U20/'CC examples - SME'!T20,"")</f>
        <v/>
      </c>
    </row>
    <row r="21" spans="1:21" x14ac:dyDescent="0.25">
      <c r="A21" t="s">
        <v>25</v>
      </c>
      <c r="B21" s="58">
        <f>IFERROR('CC examples - SME'!C21/'CC examples - SME'!B21,"")</f>
        <v>1.54181239024785</v>
      </c>
      <c r="C21" s="58"/>
      <c r="D21" s="58" t="str">
        <f>IFERROR('CC examples - SME'!E21/'CC examples - SME'!D21,"")</f>
        <v/>
      </c>
      <c r="E21" s="58" t="str">
        <f>IFERROR('CC examples - SME'!F21/'CC examples - SME'!E21,"")</f>
        <v/>
      </c>
      <c r="F21" s="58" t="str">
        <f>IFERROR('CC examples - SME'!G21/'CC examples - SME'!F21,"")</f>
        <v/>
      </c>
      <c r="G21" s="58" t="str">
        <f>IFERROR('CC examples - SME'!H21/'CC examples - SME'!G21,"")</f>
        <v/>
      </c>
      <c r="H21" s="58" t="str">
        <f>IFERROR('CC examples - SME'!I21/'CC examples - SME'!H21,"")</f>
        <v/>
      </c>
      <c r="I21" s="58" t="str">
        <f>IFERROR('CC examples - SME'!J21/'CC examples - SME'!I21,"")</f>
        <v/>
      </c>
      <c r="J21" s="58" t="str">
        <f>IFERROR('CC examples - SME'!K21/'CC examples - SME'!J21,"")</f>
        <v/>
      </c>
      <c r="K21" s="58" t="str">
        <f>IFERROR('CC examples - SME'!L21/'CC examples - SME'!K21,"")</f>
        <v/>
      </c>
      <c r="L21" s="58" t="str">
        <f>IFERROR('CC examples - SME'!M21/'CC examples - SME'!L21,"")</f>
        <v/>
      </c>
      <c r="M21" s="58" t="str">
        <f>IFERROR('CC examples - SME'!N21/'CC examples - SME'!M21,"")</f>
        <v/>
      </c>
      <c r="N21" s="58" t="str">
        <f>IFERROR('CC examples - SME'!O21/'CC examples - SME'!N21,"")</f>
        <v/>
      </c>
      <c r="O21" s="58" t="str">
        <f>IFERROR('CC examples - SME'!P21/'CC examples - SME'!O21,"")</f>
        <v/>
      </c>
      <c r="P21" s="58" t="str">
        <f>IFERROR('CC examples - SME'!Q21/'CC examples - SME'!P21,"")</f>
        <v/>
      </c>
      <c r="Q21" s="58" t="str">
        <f>IFERROR('CC examples - SME'!R21/'CC examples - SME'!Q21,"")</f>
        <v/>
      </c>
      <c r="R21" s="58" t="str">
        <f>IFERROR('CC examples - SME'!S21/'CC examples - SME'!R21,"")</f>
        <v/>
      </c>
      <c r="S21" s="58" t="str">
        <f>IFERROR('CC examples - SME'!T21/'CC examples - SME'!S21,"")</f>
        <v/>
      </c>
      <c r="T21" s="58" t="str">
        <f>IFERROR('CC examples - SME'!U21/'CC examples - SME'!T21,"")</f>
        <v/>
      </c>
    </row>
    <row r="23" spans="1:21" x14ac:dyDescent="0.25">
      <c r="A23">
        <f>'CC examples - SME'!A24</f>
        <v>0</v>
      </c>
      <c r="B23" s="6">
        <f>'CC examples - SME'!B24</f>
        <v>1</v>
      </c>
      <c r="C23" s="6">
        <f>'CC examples - SME'!C24</f>
        <v>2</v>
      </c>
      <c r="D23" s="6">
        <f>'CC examples - SME'!D24</f>
        <v>3</v>
      </c>
      <c r="E23" s="6">
        <f>'CC examples - SME'!E24</f>
        <v>4</v>
      </c>
      <c r="F23" s="6">
        <f>'CC examples - SME'!F24</f>
        <v>5</v>
      </c>
      <c r="G23" s="6">
        <f>'CC examples - SME'!G24</f>
        <v>6</v>
      </c>
      <c r="H23" s="6">
        <f>'CC examples - SME'!H24</f>
        <v>7</v>
      </c>
      <c r="I23" s="6">
        <f>'CC examples - SME'!I24</f>
        <v>8</v>
      </c>
      <c r="J23" s="6">
        <f>'CC examples - SME'!J24</f>
        <v>9</v>
      </c>
      <c r="K23" s="6">
        <f>'CC examples - SME'!K24</f>
        <v>10</v>
      </c>
      <c r="L23" s="6">
        <f>'CC examples - SME'!L24</f>
        <v>11</v>
      </c>
      <c r="M23" s="6">
        <f>'CC examples - SME'!M24</f>
        <v>12</v>
      </c>
      <c r="N23" s="6">
        <f>'CC examples - SME'!N24</f>
        <v>13</v>
      </c>
      <c r="O23" s="6">
        <f>'CC examples - SME'!O24</f>
        <v>14</v>
      </c>
      <c r="P23" s="6">
        <f>'CC examples - SME'!P24</f>
        <v>15</v>
      </c>
      <c r="Q23" s="6">
        <f>'CC examples - SME'!Q24</f>
        <v>16</v>
      </c>
      <c r="R23" s="6">
        <f>'CC examples - SME'!R24</f>
        <v>17</v>
      </c>
      <c r="S23" s="6">
        <f>'CC examples - SME'!S24</f>
        <v>18</v>
      </c>
      <c r="T23" s="6">
        <f>'CC examples - SME'!T24</f>
        <v>19</v>
      </c>
      <c r="U23" s="6"/>
    </row>
    <row r="24" spans="1:21" x14ac:dyDescent="0.25">
      <c r="A24" s="5" t="str">
        <f>'CC examples - SME'!A25</f>
        <v>x(t+1)</v>
      </c>
      <c r="B24" s="7">
        <f>'CC examples - SME'!B25</f>
        <v>589739.44010000001</v>
      </c>
      <c r="C24" s="7">
        <f>'CC examples - SME'!C25</f>
        <v>558110.57683999999</v>
      </c>
      <c r="D24" s="7">
        <f>'CC examples - SME'!D25</f>
        <v>514636.33816000004</v>
      </c>
      <c r="E24" s="7">
        <f>'CC examples - SME'!E25</f>
        <v>473692.61733000004</v>
      </c>
      <c r="F24" s="7">
        <f>'CC examples - SME'!F25</f>
        <v>424570.75287000003</v>
      </c>
      <c r="G24" s="7">
        <f>'CC examples - SME'!G25</f>
        <v>394007.09484999999</v>
      </c>
      <c r="H24" s="7">
        <f>'CC examples - SME'!H25</f>
        <v>366063.94561</v>
      </c>
      <c r="I24" s="7">
        <f>'CC examples - SME'!I25</f>
        <v>326707.48661999998</v>
      </c>
      <c r="J24" s="7">
        <f>'CC examples - SME'!J25</f>
        <v>285134.61212999996</v>
      </c>
      <c r="K24" s="7">
        <f>'CC examples - SME'!K25</f>
        <v>252370.86173999999</v>
      </c>
      <c r="L24" s="7">
        <f>'CC examples - SME'!L25</f>
        <v>225237.3463</v>
      </c>
      <c r="M24" s="7">
        <f>'CC examples - SME'!M25</f>
        <v>195088.67156000002</v>
      </c>
      <c r="N24" s="7">
        <f>'CC examples - SME'!N25</f>
        <v>162469.00635000001</v>
      </c>
      <c r="O24" s="7">
        <f>'CC examples - SME'!O25</f>
        <v>136443.23602000001</v>
      </c>
      <c r="P24" s="7">
        <f>'CC examples - SME'!P25</f>
        <v>114291.48927000001</v>
      </c>
      <c r="Q24" s="7">
        <f>'CC examples - SME'!Q25</f>
        <v>88273.595830000006</v>
      </c>
      <c r="R24" s="7">
        <f>'CC examples - SME'!R25</f>
        <v>64443.647259999998</v>
      </c>
      <c r="S24" s="7">
        <f>'CC examples - SME'!S25</f>
        <v>46689.356780000002</v>
      </c>
      <c r="T24" s="7">
        <f>'CC examples - SME'!T25</f>
        <v>24096.955709999998</v>
      </c>
    </row>
    <row r="25" spans="1:21" x14ac:dyDescent="0.25">
      <c r="A25" s="5" t="str">
        <f>'CC examples - SME'!A26</f>
        <v>x</v>
      </c>
      <c r="B25" s="7">
        <f>'CC examples - SME'!B26</f>
        <v>401731.96213</v>
      </c>
      <c r="C25" s="7">
        <f>'CC examples - SME'!C26</f>
        <v>554920.13330999995</v>
      </c>
      <c r="D25" s="7">
        <f>'CC examples - SME'!D26</f>
        <v>519424.62511999998</v>
      </c>
      <c r="E25" s="7">
        <f>'CC examples - SME'!E26</f>
        <v>476257.44228000002</v>
      </c>
      <c r="F25" s="7">
        <f>'CC examples - SME'!F26</f>
        <v>428221.59038000001</v>
      </c>
      <c r="G25" s="7">
        <f>'CC examples - SME'!G26</f>
        <v>397168.26107000001</v>
      </c>
      <c r="H25" s="7">
        <f>'CC examples - SME'!H26</f>
        <v>367696.66558999999</v>
      </c>
      <c r="I25" s="7">
        <f>'CC examples - SME'!I26</f>
        <v>327557.85715</v>
      </c>
      <c r="J25" s="7">
        <f>'CC examples - SME'!J26</f>
        <v>285303.63279999996</v>
      </c>
      <c r="K25" s="7">
        <f>'CC examples - SME'!K26</f>
        <v>252852.53750999997</v>
      </c>
      <c r="L25" s="7">
        <f>'CC examples - SME'!L26</f>
        <v>225187.07189999998</v>
      </c>
      <c r="M25" s="7">
        <f>'CC examples - SME'!M26</f>
        <v>195482.04089</v>
      </c>
      <c r="N25" s="7">
        <f>'CC examples - SME'!N26</f>
        <v>162614.51503000001</v>
      </c>
      <c r="O25" s="7">
        <f>'CC examples - SME'!O26</f>
        <v>136528.90892000002</v>
      </c>
      <c r="P25" s="7">
        <f>'CC examples - SME'!P26</f>
        <v>114380.8159</v>
      </c>
      <c r="Q25" s="7">
        <f>'CC examples - SME'!Q26</f>
        <v>88290.915460000004</v>
      </c>
      <c r="R25" s="7">
        <f>'CC examples - SME'!R26</f>
        <v>64443.647259999998</v>
      </c>
      <c r="S25" s="7">
        <f>'CC examples - SME'!S26</f>
        <v>46689.356780000002</v>
      </c>
      <c r="T25" s="7">
        <f>'CC examples - SME'!T26</f>
        <v>24096.955709999998</v>
      </c>
    </row>
    <row r="26" spans="1:21" x14ac:dyDescent="0.25">
      <c r="A26" s="5" t="str">
        <f>'CC examples - SME'!A27</f>
        <v>LDF</v>
      </c>
      <c r="B26" s="8">
        <f>'CC examples - SME'!B27</f>
        <v>1.4679923324327404</v>
      </c>
      <c r="C26" s="8">
        <f>'CC examples - SME'!C27</f>
        <v>1.0057493742585435</v>
      </c>
      <c r="D26" s="8">
        <f>'CC examples - SME'!D27</f>
        <v>0.9907815557283336</v>
      </c>
      <c r="E26" s="8">
        <f>'CC examples - SME'!E27</f>
        <v>0.99461462494376718</v>
      </c>
      <c r="F26" s="8">
        <f>'CC examples - SME'!F27</f>
        <v>0.99147441980503537</v>
      </c>
      <c r="G26" s="8">
        <f>'CC examples - SME'!G27</f>
        <v>0.99204073807034931</v>
      </c>
      <c r="H26" s="8">
        <f>'CC examples - SME'!H27</f>
        <v>0.99555960079926165</v>
      </c>
      <c r="I26" s="8">
        <f>'CC examples - SME'!I27</f>
        <v>0.99740390739700502</v>
      </c>
      <c r="J26" s="8">
        <f>'CC examples - SME'!J27</f>
        <v>0.99940757617300136</v>
      </c>
      <c r="K26" s="8">
        <f>'CC examples - SME'!K27</f>
        <v>0.99809503288065315</v>
      </c>
      <c r="L26" s="8">
        <f>'CC examples - SME'!L27</f>
        <v>1.0002232561557634</v>
      </c>
      <c r="M26" s="8">
        <f>'CC examples - SME'!M27</f>
        <v>0.9979876958097581</v>
      </c>
      <c r="N26" s="8">
        <f>'CC examples - SME'!N27</f>
        <v>0.99910519254709118</v>
      </c>
      <c r="O26" s="8">
        <f>'CC examples - SME'!O27</f>
        <v>0.99937249260484307</v>
      </c>
      <c r="P26" s="8">
        <f>'CC examples - SME'!P27</f>
        <v>0.99921904185332888</v>
      </c>
      <c r="Q26" s="8">
        <f>'CC examples - SME'!Q27</f>
        <v>0.9998038345178577</v>
      </c>
      <c r="R26" s="8">
        <f>'CC examples - SME'!R27</f>
        <v>1</v>
      </c>
      <c r="S26" s="8">
        <f>'CC examples - SME'!S27</f>
        <v>1</v>
      </c>
      <c r="T26" s="8">
        <f>'CC examples - SME'!T27</f>
        <v>1</v>
      </c>
    </row>
    <row r="27" spans="1:21" x14ac:dyDescent="0.25">
      <c r="A27" s="5" t="str">
        <f>'CC examples - SME'!A28</f>
        <v>% to Ult</v>
      </c>
      <c r="B27" s="9">
        <f>'CC examples - SME'!B28</f>
        <v>0.70852236400063762</v>
      </c>
      <c r="C27" s="9">
        <f>'CC examples - SME'!C28</f>
        <v>1.0401053977100547</v>
      </c>
      <c r="D27" s="9">
        <f>'CC examples - SME'!D28</f>
        <v>1.0460853529098213</v>
      </c>
      <c r="E27" s="9">
        <f>'CC examples - SME'!E28</f>
        <v>1.0364420733806157</v>
      </c>
      <c r="F27" s="9">
        <f>'CC examples - SME'!F28</f>
        <v>1.0308604440914018</v>
      </c>
      <c r="G27" s="9">
        <f>'CC examples - SME'!G28</f>
        <v>1.0220717607054832</v>
      </c>
      <c r="H27" s="9">
        <f>'CC examples - SME'!H28</f>
        <v>1.0139368238511293</v>
      </c>
      <c r="I27" s="9">
        <f>'CC examples - SME'!I28</f>
        <v>1.0094345395889015</v>
      </c>
      <c r="J27" s="9">
        <f>'CC examples - SME'!J28</f>
        <v>1.006813954047467</v>
      </c>
      <c r="K27" s="9">
        <f>'CC examples - SME'!K28</f>
        <v>1.0062174934717345</v>
      </c>
      <c r="L27" s="9">
        <f>'CC examples - SME'!L28</f>
        <v>1.0043006822317593</v>
      </c>
      <c r="M27" s="9">
        <f>'CC examples - SME'!M28</f>
        <v>1.0045248985413049</v>
      </c>
      <c r="N27" s="9">
        <f>'CC examples - SME'!N28</f>
        <v>1.0025034888787678</v>
      </c>
      <c r="O27" s="9">
        <f>'CC examples - SME'!O28</f>
        <v>1.001606441285352</v>
      </c>
      <c r="P27" s="9">
        <f>'CC examples - SME'!P28</f>
        <v>1.0009779258364087</v>
      </c>
      <c r="Q27" s="9">
        <f>'CC examples - SME'!Q28</f>
        <v>1.0001962039705887</v>
      </c>
      <c r="R27" s="9">
        <f>'CC examples - SME'!R28</f>
        <v>1</v>
      </c>
      <c r="S27" s="9">
        <f>'CC examples - SME'!S28</f>
        <v>1</v>
      </c>
      <c r="T27" s="9">
        <f>'CC examples - SME'!T28</f>
        <v>1</v>
      </c>
      <c r="U27" s="10">
        <f>'CC examples - SME'!U28</f>
        <v>1</v>
      </c>
    </row>
    <row r="30" spans="1:21" x14ac:dyDescent="0.25">
      <c r="A30" s="15" t="str">
        <f>'CC examples - SME'!A30</f>
        <v>AY</v>
      </c>
      <c r="B30" s="16" t="str">
        <f>'CC examples - SME'!B30</f>
        <v>Row Labels</v>
      </c>
      <c r="C30" s="16" t="str">
        <f>'CC examples - SME'!C30</f>
        <v>Min of premium</v>
      </c>
      <c r="D30" s="16" t="str">
        <f>'CC examples - SME'!D30</f>
        <v>Latest</v>
      </c>
      <c r="E30" s="16" t="str">
        <f>'CC examples - SME'!E30</f>
        <v>% to Ult</v>
      </c>
      <c r="F30" s="16" t="str">
        <f>'CC examples - SME'!F30</f>
        <v>IBNR - CL</v>
      </c>
      <c r="G30" s="16" t="str">
        <f>'CC examples - SME'!G30</f>
        <v>ULT - CL</v>
      </c>
      <c r="H30" s="16" t="str">
        <f>'CC examples - SME'!H30</f>
        <v>ULR - CL</v>
      </c>
      <c r="I30" s="16" t="s">
        <v>60</v>
      </c>
      <c r="J30" s="16" t="s">
        <v>61</v>
      </c>
      <c r="K30" s="16" t="s">
        <v>62</v>
      </c>
      <c r="L30" s="18" t="s">
        <v>63</v>
      </c>
      <c r="N30" s="65">
        <v>0.1</v>
      </c>
      <c r="O30" s="65">
        <v>0.3</v>
      </c>
      <c r="P30" s="65">
        <v>0.75</v>
      </c>
      <c r="Q30" s="65" t="s">
        <v>64</v>
      </c>
      <c r="R30" s="65" t="s">
        <v>65</v>
      </c>
    </row>
    <row r="31" spans="1:21" x14ac:dyDescent="0.25">
      <c r="A31" s="11">
        <f>'CC examples - SME'!A31</f>
        <v>1</v>
      </c>
      <c r="B31" s="12" t="str">
        <f>'CC examples - SME'!B31</f>
        <v>201003</v>
      </c>
      <c r="C31" s="13">
        <f>'CC examples - SME'!C31</f>
        <v>51346.666409999998</v>
      </c>
      <c r="D31" s="13">
        <f ca="1">'CC examples - SME'!D31</f>
        <v>24096.955709999998</v>
      </c>
      <c r="E31" s="14">
        <f ca="1">'CC examples - SME'!E31</f>
        <v>1</v>
      </c>
      <c r="F31" s="17">
        <f ca="1">'CC examples - SME'!F31</f>
        <v>0</v>
      </c>
      <c r="G31" s="17">
        <f ca="1">'CC examples - SME'!G31</f>
        <v>24096.955709999998</v>
      </c>
      <c r="H31" s="14">
        <f ca="1">'CC examples - SME'!H31</f>
        <v>0.46929932154869175</v>
      </c>
      <c r="I31" s="39"/>
      <c r="J31" s="19">
        <f ca="1">(1-E31)*I31*C31</f>
        <v>0</v>
      </c>
      <c r="K31" s="13">
        <f ca="1">'CC examples - SME'!K31</f>
        <v>24096.955709999998</v>
      </c>
      <c r="L31" s="14">
        <f ca="1">'CC examples - SME'!L31</f>
        <v>0.46929932154869175</v>
      </c>
      <c r="N31" s="9">
        <f>N$30^ABS($A$50-$A31)</f>
        <v>1.0000000000000019E-19</v>
      </c>
      <c r="O31" s="9">
        <f t="shared" ref="O31:R50" si="0">O$30^ABS($A$50-$A31)</f>
        <v>1.1622614669999996E-10</v>
      </c>
      <c r="P31" s="9">
        <f t="shared" si="0"/>
        <v>4.2282825852453243E-3</v>
      </c>
      <c r="Q31" s="9">
        <f t="shared" si="0"/>
        <v>0.37735360253530753</v>
      </c>
      <c r="R31" s="9">
        <f t="shared" si="0"/>
        <v>1</v>
      </c>
    </row>
    <row r="32" spans="1:21" x14ac:dyDescent="0.25">
      <c r="A32" s="11">
        <f>'CC examples - SME'!A32</f>
        <v>2</v>
      </c>
      <c r="B32" s="12" t="str">
        <f>'CC examples - SME'!B32</f>
        <v>201006</v>
      </c>
      <c r="C32" s="13">
        <f>'CC examples - SME'!C32</f>
        <v>53877.276409999999</v>
      </c>
      <c r="D32" s="13">
        <f ca="1">'CC examples - SME'!D32</f>
        <v>22592.40107</v>
      </c>
      <c r="E32" s="14">
        <f ca="1">'CC examples - SME'!E32</f>
        <v>1</v>
      </c>
      <c r="F32" s="17">
        <f ca="1">'CC examples - SME'!F32</f>
        <v>0</v>
      </c>
      <c r="G32" s="17">
        <f ca="1">'CC examples - SME'!G32</f>
        <v>22592.40107</v>
      </c>
      <c r="H32" s="14">
        <f ca="1">'CC examples - SME'!H32</f>
        <v>0.41933079352553709</v>
      </c>
      <c r="I32" s="39"/>
      <c r="J32" s="19">
        <f t="shared" ref="J32:J50" ca="1" si="1">(1-E32)*I32*C32</f>
        <v>0</v>
      </c>
      <c r="K32" s="13">
        <f ca="1">'CC examples - SME'!K32</f>
        <v>22592.40107</v>
      </c>
      <c r="L32" s="14">
        <f ca="1">'CC examples - SME'!L32</f>
        <v>0.41933079352553709</v>
      </c>
      <c r="N32" s="9">
        <f t="shared" ref="N32:R47" si="2">N$30^ABS($A$50-$A32)</f>
        <v>1.0000000000000018E-18</v>
      </c>
      <c r="O32" s="9">
        <f t="shared" si="0"/>
        <v>3.8742048899999985E-10</v>
      </c>
      <c r="P32" s="9">
        <f t="shared" si="0"/>
        <v>5.6377101136604324E-3</v>
      </c>
      <c r="Q32" s="9">
        <f t="shared" si="0"/>
        <v>0.39721431845821847</v>
      </c>
      <c r="R32" s="9">
        <f t="shared" si="0"/>
        <v>1</v>
      </c>
    </row>
    <row r="33" spans="1:18" x14ac:dyDescent="0.25">
      <c r="A33" s="11">
        <f>'CC examples - SME'!A33</f>
        <v>3</v>
      </c>
      <c r="B33" s="12" t="str">
        <f>'CC examples - SME'!B33</f>
        <v>201009</v>
      </c>
      <c r="C33" s="13">
        <f>'CC examples - SME'!C33</f>
        <v>54577.096409999998</v>
      </c>
      <c r="D33" s="13">
        <f ca="1">'CC examples - SME'!D33</f>
        <v>17754.29048</v>
      </c>
      <c r="E33" s="14">
        <f ca="1">'CC examples - SME'!E33</f>
        <v>1</v>
      </c>
      <c r="F33" s="17">
        <f ca="1">'CC examples - SME'!F33</f>
        <v>0</v>
      </c>
      <c r="G33" s="17">
        <f ca="1">'CC examples - SME'!G33</f>
        <v>17754.29048</v>
      </c>
      <c r="H33" s="14">
        <f ca="1">'CC examples - SME'!H33</f>
        <v>0.3253066148228973</v>
      </c>
      <c r="I33" s="39"/>
      <c r="J33" s="19">
        <f t="shared" ca="1" si="1"/>
        <v>0</v>
      </c>
      <c r="K33" s="13">
        <f ca="1">'CC examples - SME'!K33</f>
        <v>17754.29048</v>
      </c>
      <c r="L33" s="14">
        <f ca="1">'CC examples - SME'!L33</f>
        <v>0.3253066148228973</v>
      </c>
      <c r="N33" s="9">
        <f t="shared" si="2"/>
        <v>1.0000000000000018E-17</v>
      </c>
      <c r="O33" s="9">
        <f t="shared" si="0"/>
        <v>1.2914016299999995E-9</v>
      </c>
      <c r="P33" s="9">
        <f t="shared" si="0"/>
        <v>7.5169468182139099E-3</v>
      </c>
      <c r="Q33" s="9">
        <f t="shared" si="0"/>
        <v>0.41812033521917735</v>
      </c>
      <c r="R33" s="9">
        <f t="shared" si="0"/>
        <v>1</v>
      </c>
    </row>
    <row r="34" spans="1:18" x14ac:dyDescent="0.25">
      <c r="A34" s="11">
        <f>'CC examples - SME'!A34</f>
        <v>4</v>
      </c>
      <c r="B34" s="12" t="str">
        <f>'CC examples - SME'!B34</f>
        <v>201012</v>
      </c>
      <c r="C34" s="13">
        <f>'CC examples - SME'!C34</f>
        <v>55527.486409999998</v>
      </c>
      <c r="D34" s="13">
        <f ca="1">'CC examples - SME'!D34</f>
        <v>23829.94857</v>
      </c>
      <c r="E34" s="14">
        <f ca="1">'CC examples - SME'!E34</f>
        <v>1</v>
      </c>
      <c r="F34" s="17">
        <f ca="1">'CC examples - SME'!F34</f>
        <v>0</v>
      </c>
      <c r="G34" s="17">
        <f ca="1">'CC examples - SME'!G34</f>
        <v>23829.94857</v>
      </c>
      <c r="H34" s="14">
        <f ca="1">'CC examples - SME'!H34</f>
        <v>0.42915590297111744</v>
      </c>
      <c r="I34" s="39"/>
      <c r="J34" s="19">
        <f t="shared" ca="1" si="1"/>
        <v>0</v>
      </c>
      <c r="K34" s="13">
        <f ca="1">'CC examples - SME'!K34</f>
        <v>23829.94857</v>
      </c>
      <c r="L34" s="14">
        <f ca="1">'CC examples - SME'!L34</f>
        <v>0.42915590297111744</v>
      </c>
      <c r="N34" s="9">
        <f t="shared" si="2"/>
        <v>1.0000000000000017E-16</v>
      </c>
      <c r="O34" s="9">
        <f t="shared" si="0"/>
        <v>4.3046720999999984E-9</v>
      </c>
      <c r="P34" s="9">
        <f t="shared" si="0"/>
        <v>1.0022595757618546E-2</v>
      </c>
      <c r="Q34" s="9">
        <f t="shared" si="0"/>
        <v>0.44012666865176564</v>
      </c>
      <c r="R34" s="9">
        <f t="shared" si="0"/>
        <v>1</v>
      </c>
    </row>
    <row r="35" spans="1:18" x14ac:dyDescent="0.25">
      <c r="A35" s="11">
        <f>'CC examples - SME'!A35</f>
        <v>5</v>
      </c>
      <c r="B35" s="12" t="str">
        <f>'CC examples - SME'!B35</f>
        <v>201103</v>
      </c>
      <c r="C35" s="13">
        <f>'CC examples - SME'!C35</f>
        <v>56767.616410000002</v>
      </c>
      <c r="D35" s="13">
        <f ca="1">'CC examples - SME'!D35</f>
        <v>26000.573810000002</v>
      </c>
      <c r="E35" s="14">
        <f ca="1">'CC examples - SME'!E35</f>
        <v>1.0001962039705887</v>
      </c>
      <c r="F35" s="17">
        <f ca="1">'CC examples - SME'!F35</f>
        <v>-5.1004150974149525</v>
      </c>
      <c r="G35" s="17">
        <f ca="1">'CC examples - SME'!G35</f>
        <v>25995.473394902587</v>
      </c>
      <c r="H35" s="14">
        <f ca="1">'CC examples - SME'!H35</f>
        <v>0.45792786519610335</v>
      </c>
      <c r="I35" s="39">
        <f ca="1">SUM(G31:G34)/SUM(C31:C34)</f>
        <v>0.40994845233641475</v>
      </c>
      <c r="J35" s="19">
        <f t="shared" ca="1" si="1"/>
        <v>-4.5660188740917329</v>
      </c>
      <c r="K35" s="13">
        <f ca="1">'CC examples - SME'!K35</f>
        <v>25995.030239431642</v>
      </c>
      <c r="L35" s="14">
        <f ca="1">'CC examples - SME'!L35</f>
        <v>0.45792005871242536</v>
      </c>
      <c r="N35" s="9">
        <f t="shared" si="2"/>
        <v>1.0000000000000017E-15</v>
      </c>
      <c r="O35" s="9">
        <f t="shared" si="0"/>
        <v>1.4348906999999997E-8</v>
      </c>
      <c r="P35" s="9">
        <f t="shared" si="0"/>
        <v>1.3363461010158062E-2</v>
      </c>
      <c r="Q35" s="9">
        <f t="shared" si="0"/>
        <v>0.46329123015975332</v>
      </c>
      <c r="R35" s="9">
        <f t="shared" si="0"/>
        <v>1</v>
      </c>
    </row>
    <row r="36" spans="1:18" x14ac:dyDescent="0.25">
      <c r="A36" s="11">
        <f>'CC examples - SME'!A36</f>
        <v>6</v>
      </c>
      <c r="B36" s="12" t="str">
        <f>'CC examples - SME'!B36</f>
        <v>201106</v>
      </c>
      <c r="C36" s="13">
        <f>'CC examples - SME'!C36</f>
        <v>57243.726410000003</v>
      </c>
      <c r="D36" s="13">
        <f ca="1">'CC examples - SME'!D36</f>
        <v>22062.420119999999</v>
      </c>
      <c r="E36" s="14">
        <f ca="1">'CC examples - SME'!E36</f>
        <v>1.0009779258364087</v>
      </c>
      <c r="F36" s="17">
        <f ca="1">'CC examples - SME'!F36</f>
        <v>-21.55433211079071</v>
      </c>
      <c r="G36" s="17">
        <f ca="1">'CC examples - SME'!G36</f>
        <v>22040.865787889208</v>
      </c>
      <c r="H36" s="14">
        <f ca="1">'CC examples - SME'!H36</f>
        <v>0.3850354819674851</v>
      </c>
      <c r="I36" s="39">
        <f t="shared" ref="I36:I50" ca="1" si="3">SUM(G32:G35)/SUM(C32:C35)</f>
        <v>0.40848166571392441</v>
      </c>
      <c r="J36" s="19">
        <f t="shared" ca="1" si="1"/>
        <v>-22.866852267685676</v>
      </c>
      <c r="K36" s="13">
        <f ca="1">'CC examples - SME'!K36</f>
        <v>22034.557949421687</v>
      </c>
      <c r="L36" s="14">
        <f ca="1">'CC examples - SME'!L36</f>
        <v>0.38492528930772812</v>
      </c>
      <c r="N36" s="9">
        <f t="shared" si="2"/>
        <v>1.0000000000000014E-14</v>
      </c>
      <c r="O36" s="9">
        <f t="shared" si="0"/>
        <v>4.7829689999999986E-8</v>
      </c>
      <c r="P36" s="9">
        <f t="shared" si="0"/>
        <v>1.7817948013544083E-2</v>
      </c>
      <c r="Q36" s="9">
        <f t="shared" si="0"/>
        <v>0.48767497911552976</v>
      </c>
      <c r="R36" s="9">
        <f t="shared" si="0"/>
        <v>1</v>
      </c>
    </row>
    <row r="37" spans="1:18" x14ac:dyDescent="0.25">
      <c r="A37" s="11">
        <f>'CC examples - SME'!A37</f>
        <v>7</v>
      </c>
      <c r="B37" s="12" t="str">
        <f>'CC examples - SME'!B37</f>
        <v>201109</v>
      </c>
      <c r="C37" s="13">
        <f>'CC examples - SME'!C37</f>
        <v>58405.126409999997</v>
      </c>
      <c r="D37" s="13">
        <f ca="1">'CC examples - SME'!D37</f>
        <v>25940.097430000002</v>
      </c>
      <c r="E37" s="14">
        <f ca="1">'CC examples - SME'!E37</f>
        <v>1.001606441285352</v>
      </c>
      <c r="F37" s="17">
        <f ca="1">'CC examples - SME'!F37</f>
        <v>-41.604408418272214</v>
      </c>
      <c r="G37" s="17">
        <f ca="1">'CC examples - SME'!G37</f>
        <v>25898.493021581729</v>
      </c>
      <c r="H37" s="14">
        <f ca="1">'CC examples - SME'!H37</f>
        <v>0.44342842167271546</v>
      </c>
      <c r="I37" s="39">
        <f t="shared" ca="1" si="3"/>
        <v>0.39988491659780739</v>
      </c>
      <c r="J37" s="19">
        <f t="shared" ca="1" si="1"/>
        <v>-37.518964904600914</v>
      </c>
      <c r="K37" s="13">
        <f ca="1">'CC examples - SME'!K37</f>
        <v>25893.399572631202</v>
      </c>
      <c r="L37" s="14">
        <f ca="1">'CC examples - SME'!L37</f>
        <v>0.44334121273638388</v>
      </c>
      <c r="N37" s="9">
        <f t="shared" si="2"/>
        <v>1.0000000000000014E-13</v>
      </c>
      <c r="O37" s="9">
        <f t="shared" si="0"/>
        <v>1.5943229999999997E-7</v>
      </c>
      <c r="P37" s="9">
        <f t="shared" si="0"/>
        <v>2.3757264018058777E-2</v>
      </c>
      <c r="Q37" s="9">
        <f t="shared" si="0"/>
        <v>0.51334208327950503</v>
      </c>
      <c r="R37" s="9">
        <f t="shared" si="0"/>
        <v>1</v>
      </c>
    </row>
    <row r="38" spans="1:18" x14ac:dyDescent="0.25">
      <c r="A38" s="11">
        <f>'CC examples - SME'!A38</f>
        <v>8</v>
      </c>
      <c r="B38" s="12" t="str">
        <f>'CC examples - SME'!B38</f>
        <v>201112</v>
      </c>
      <c r="C38" s="13">
        <f>'CC examples - SME'!C38</f>
        <v>59911.596409999998</v>
      </c>
      <c r="D38" s="13">
        <f ca="1">'CC examples - SME'!D38</f>
        <v>32474.15653</v>
      </c>
      <c r="E38" s="14">
        <f ca="1">'CC examples - SME'!E38</f>
        <v>1.0025034888787678</v>
      </c>
      <c r="F38" s="17">
        <f ca="1">'CC examples - SME'!F38</f>
        <v>-81.095667618221341</v>
      </c>
      <c r="G38" s="17">
        <f ca="1">'CC examples - SME'!G38</f>
        <v>32393.060862381779</v>
      </c>
      <c r="H38" s="14">
        <f ca="1">'CC examples - SME'!H38</f>
        <v>0.54068098337261083</v>
      </c>
      <c r="I38" s="39">
        <f t="shared" ca="1" si="3"/>
        <v>0.42889832502852993</v>
      </c>
      <c r="J38" s="19">
        <f t="shared" ca="1" si="1"/>
        <v>-64.329608545814281</v>
      </c>
      <c r="K38" s="13">
        <f ca="1">'CC examples - SME'!K38</f>
        <v>32399.50517626751</v>
      </c>
      <c r="L38" s="14">
        <f ca="1">'CC examples - SME'!L38</f>
        <v>0.54078854708768243</v>
      </c>
      <c r="N38" s="9">
        <f t="shared" si="2"/>
        <v>1.0000000000000014E-12</v>
      </c>
      <c r="O38" s="9">
        <f t="shared" si="0"/>
        <v>5.3144099999999987E-7</v>
      </c>
      <c r="P38" s="9">
        <f t="shared" si="0"/>
        <v>3.1676352024078369E-2</v>
      </c>
      <c r="Q38" s="9">
        <f t="shared" si="0"/>
        <v>0.54036008766263688</v>
      </c>
      <c r="R38" s="9">
        <f t="shared" si="0"/>
        <v>1</v>
      </c>
    </row>
    <row r="39" spans="1:18" x14ac:dyDescent="0.25">
      <c r="A39" s="11">
        <f>'CC examples - SME'!A39</f>
        <v>9</v>
      </c>
      <c r="B39" s="12" t="str">
        <f>'CC examples - SME'!B39</f>
        <v>201203</v>
      </c>
      <c r="C39" s="13">
        <f>'CC examples - SME'!C39</f>
        <v>60339.49641</v>
      </c>
      <c r="D39" s="13">
        <f ca="1">'CC examples - SME'!D39</f>
        <v>29755.305410000001</v>
      </c>
      <c r="E39" s="14">
        <f ca="1">'CC examples - SME'!E39</f>
        <v>1.0045248985413049</v>
      </c>
      <c r="F39" s="17">
        <f ca="1">'CC examples - SME'!F39</f>
        <v>-134.03325118302746</v>
      </c>
      <c r="G39" s="17">
        <f ca="1">'CC examples - SME'!G39</f>
        <v>29621.272158816973</v>
      </c>
      <c r="H39" s="14">
        <f ca="1">'CC examples - SME'!H39</f>
        <v>0.49091016533422493</v>
      </c>
      <c r="I39" s="39">
        <f t="shared" ca="1" si="3"/>
        <v>0.4576627140326382</v>
      </c>
      <c r="J39" s="19">
        <f t="shared" ca="1" si="1"/>
        <v>-124.95569625305824</v>
      </c>
      <c r="K39" s="13">
        <f ca="1">'CC examples - SME'!K39</f>
        <v>29619.414109099023</v>
      </c>
      <c r="L39" s="14">
        <f ca="1">'CC examples - SME'!L39</f>
        <v>0.490879372075605</v>
      </c>
      <c r="N39" s="9">
        <f t="shared" si="2"/>
        <v>1.0000000000000011E-11</v>
      </c>
      <c r="O39" s="9">
        <f t="shared" si="0"/>
        <v>1.7714699999999997E-6</v>
      </c>
      <c r="P39" s="9">
        <f t="shared" si="0"/>
        <v>4.2235136032104492E-2</v>
      </c>
      <c r="Q39" s="9">
        <f t="shared" si="0"/>
        <v>0.56880009227645989</v>
      </c>
      <c r="R39" s="9">
        <f t="shared" si="0"/>
        <v>1</v>
      </c>
    </row>
    <row r="40" spans="1:18" x14ac:dyDescent="0.25">
      <c r="A40" s="11">
        <f>'CC examples - SME'!A40</f>
        <v>10</v>
      </c>
      <c r="B40" s="12" t="str">
        <f>'CC examples - SME'!B40</f>
        <v>201206</v>
      </c>
      <c r="C40" s="13">
        <f>'CC examples - SME'!C40</f>
        <v>61308.49641</v>
      </c>
      <c r="D40" s="13">
        <f ca="1">'CC examples - SME'!D40</f>
        <v>27183.789840000001</v>
      </c>
      <c r="E40" s="14">
        <f ca="1">'CC examples - SME'!E40</f>
        <v>1.0043006822317593</v>
      </c>
      <c r="F40" s="17">
        <f ca="1">'CC examples - SME'!F40</f>
        <v>-116.40820724822333</v>
      </c>
      <c r="G40" s="17">
        <f ca="1">'CC examples - SME'!G40</f>
        <v>27067.381632751778</v>
      </c>
      <c r="H40" s="14">
        <f ca="1">'CC examples - SME'!H40</f>
        <v>0.44149478812429055</v>
      </c>
      <c r="I40" s="39">
        <f t="shared" ca="1" si="3"/>
        <v>0.46610308252663535</v>
      </c>
      <c r="J40" s="19">
        <f t="shared" ca="1" si="1"/>
        <v>-122.89663590438869</v>
      </c>
      <c r="K40" s="13">
        <f ca="1">'CC examples - SME'!K40</f>
        <v>27052.55802087576</v>
      </c>
      <c r="L40" s="14">
        <f ca="1">'CC examples - SME'!L40</f>
        <v>0.44125300088852332</v>
      </c>
      <c r="N40" s="9">
        <f t="shared" si="2"/>
        <v>1.0000000000000011E-10</v>
      </c>
      <c r="O40" s="9">
        <f t="shared" si="0"/>
        <v>5.9048999999999991E-6</v>
      </c>
      <c r="P40" s="9">
        <f t="shared" si="0"/>
        <v>5.6313514709472656E-2</v>
      </c>
      <c r="Q40" s="9">
        <f t="shared" si="0"/>
        <v>0.5987369392383789</v>
      </c>
      <c r="R40" s="9">
        <f t="shared" si="0"/>
        <v>1</v>
      </c>
    </row>
    <row r="41" spans="1:18" x14ac:dyDescent="0.25">
      <c r="A41" s="11">
        <f>'CC examples - SME'!A41</f>
        <v>11</v>
      </c>
      <c r="B41" s="12" t="str">
        <f>'CC examples - SME'!B41</f>
        <v>201209</v>
      </c>
      <c r="C41" s="13">
        <f>'CC examples - SME'!C41</f>
        <v>60262.306409999997</v>
      </c>
      <c r="D41" s="13">
        <f ca="1">'CC examples - SME'!D41</f>
        <v>32282.074619999999</v>
      </c>
      <c r="E41" s="14">
        <f ca="1">'CC examples - SME'!E41</f>
        <v>1.0062174934717345</v>
      </c>
      <c r="F41" s="17">
        <f ca="1">'CC examples - SME'!F41</f>
        <v>-199.47336386627285</v>
      </c>
      <c r="G41" s="17">
        <f ca="1">'CC examples - SME'!G41</f>
        <v>32082.601256133727</v>
      </c>
      <c r="H41" s="14">
        <f ca="1">'CC examples - SME'!H41</f>
        <v>0.53238256494626801</v>
      </c>
      <c r="I41" s="39">
        <f t="shared" ca="1" si="3"/>
        <v>0.47915464308522737</v>
      </c>
      <c r="J41" s="19">
        <f t="shared" ca="1" si="1"/>
        <v>-179.52989966529057</v>
      </c>
      <c r="K41" s="13">
        <f ca="1">'CC examples - SME'!K41</f>
        <v>32095.590345002951</v>
      </c>
      <c r="L41" s="14">
        <f ca="1">'CC examples - SME'!L41</f>
        <v>0.53259810745771541</v>
      </c>
      <c r="N41" s="9">
        <f t="shared" si="2"/>
        <v>1.0000000000000009E-9</v>
      </c>
      <c r="O41" s="9">
        <f t="shared" si="0"/>
        <v>1.9682999999999998E-5</v>
      </c>
      <c r="P41" s="9">
        <f t="shared" si="0"/>
        <v>7.5084686279296875E-2</v>
      </c>
      <c r="Q41" s="9">
        <f t="shared" si="0"/>
        <v>0.6302494097246093</v>
      </c>
      <c r="R41" s="9">
        <f t="shared" si="0"/>
        <v>1</v>
      </c>
    </row>
    <row r="42" spans="1:18" x14ac:dyDescent="0.25">
      <c r="A42" s="11">
        <f>'CC examples - SME'!A42</f>
        <v>12</v>
      </c>
      <c r="B42" s="12" t="str">
        <f>'CC examples - SME'!B42</f>
        <v>201212</v>
      </c>
      <c r="C42" s="13">
        <f>'CC examples - SME'!C42</f>
        <v>60512.846409999998</v>
      </c>
      <c r="D42" s="13">
        <f ca="1">'CC examples - SME'!D42</f>
        <v>41403.853819999997</v>
      </c>
      <c r="E42" s="14">
        <f ca="1">'CC examples - SME'!E42</f>
        <v>1.006813954047467</v>
      </c>
      <c r="F42" s="17">
        <f ca="1">'CC examples - SME'!F42</f>
        <v>-280.21458799151878</v>
      </c>
      <c r="G42" s="17">
        <f ca="1">'CC examples - SME'!G42</f>
        <v>41123.639232008478</v>
      </c>
      <c r="H42" s="14">
        <f ca="1">'CC examples - SME'!H42</f>
        <v>0.67958527274322078</v>
      </c>
      <c r="I42" s="39">
        <f t="shared" ca="1" si="3"/>
        <v>0.50104774668734486</v>
      </c>
      <c r="J42" s="19">
        <f t="shared" ca="1" si="1"/>
        <v>-206.59789658967787</v>
      </c>
      <c r="K42" s="13">
        <f ca="1">'CC examples - SME'!K42</f>
        <v>41198.629931873562</v>
      </c>
      <c r="L42" s="14">
        <f ca="1">'CC examples - SME'!L42</f>
        <v>0.68082452530385873</v>
      </c>
      <c r="N42" s="9">
        <f t="shared" si="2"/>
        <v>1.0000000000000008E-8</v>
      </c>
      <c r="O42" s="9">
        <f t="shared" si="0"/>
        <v>6.560999999999999E-5</v>
      </c>
      <c r="P42" s="9">
        <f t="shared" si="0"/>
        <v>0.1001129150390625</v>
      </c>
      <c r="Q42" s="9">
        <f t="shared" si="0"/>
        <v>0.66342043128906247</v>
      </c>
      <c r="R42" s="9">
        <f t="shared" si="0"/>
        <v>1</v>
      </c>
    </row>
    <row r="43" spans="1:18" x14ac:dyDescent="0.25">
      <c r="A43" s="11">
        <f>'CC examples - SME'!A43</f>
        <v>13</v>
      </c>
      <c r="B43" s="12" t="str">
        <f>'CC examples - SME'!B43</f>
        <v>201303</v>
      </c>
      <c r="C43" s="13">
        <f>'CC examples - SME'!C43</f>
        <v>62668.156410000003</v>
      </c>
      <c r="D43" s="13">
        <f ca="1">'CC examples - SME'!D43</f>
        <v>38506.088459999999</v>
      </c>
      <c r="E43" s="14">
        <f ca="1">'CC examples - SME'!E43</f>
        <v>1.0094345395889015</v>
      </c>
      <c r="F43" s="17">
        <f ca="1">'CC examples - SME'!F43</f>
        <v>-359.89180253091763</v>
      </c>
      <c r="G43" s="17">
        <f ca="1">'CC examples - SME'!G43</f>
        <v>38146.196657469081</v>
      </c>
      <c r="H43" s="14">
        <f ca="1">'CC examples - SME'!H43</f>
        <v>0.60870143375371522</v>
      </c>
      <c r="I43" s="39">
        <f t="shared" ca="1" si="3"/>
        <v>0.53581886307426163</v>
      </c>
      <c r="J43" s="19">
        <f t="shared" ca="1" si="1"/>
        <v>-316.80033226253943</v>
      </c>
      <c r="K43" s="13">
        <f ca="1">'CC examples - SME'!K43</f>
        <v>38211.816583221771</v>
      </c>
      <c r="L43" s="14">
        <f ca="1">'CC examples - SME'!L43</f>
        <v>0.60974853533626983</v>
      </c>
      <c r="N43" s="9">
        <f t="shared" si="2"/>
        <v>1.0000000000000007E-7</v>
      </c>
      <c r="O43" s="9">
        <f t="shared" si="0"/>
        <v>2.1869999999999998E-4</v>
      </c>
      <c r="P43" s="9">
        <f t="shared" si="0"/>
        <v>0.13348388671875</v>
      </c>
      <c r="Q43" s="9">
        <f t="shared" si="0"/>
        <v>0.69833729609374995</v>
      </c>
      <c r="R43" s="9">
        <f t="shared" si="0"/>
        <v>1</v>
      </c>
    </row>
    <row r="44" spans="1:18" x14ac:dyDescent="0.25">
      <c r="A44" s="11">
        <f>'CC examples - SME'!A44</f>
        <v>14</v>
      </c>
      <c r="B44" s="12" t="str">
        <f>'CC examples - SME'!B44</f>
        <v>201306</v>
      </c>
      <c r="C44" s="13">
        <f>'CC examples - SME'!C44</f>
        <v>63109.326410000001</v>
      </c>
      <c r="D44" s="13">
        <f ca="1">'CC examples - SME'!D44</f>
        <v>26310.429260000001</v>
      </c>
      <c r="E44" s="14">
        <f ca="1">'CC examples - SME'!E44</f>
        <v>1.0139368238511293</v>
      </c>
      <c r="F44" s="17">
        <f ca="1">'CC examples - SME'!F44</f>
        <v>-361.64365413959604</v>
      </c>
      <c r="G44" s="17">
        <f ca="1">'CC examples - SME'!G44</f>
        <v>25948.785605860405</v>
      </c>
      <c r="H44" s="14">
        <f ca="1">'CC examples - SME'!H44</f>
        <v>0.41117196271878897</v>
      </c>
      <c r="I44" s="39">
        <f t="shared" ca="1" si="3"/>
        <v>0.56555177771379428</v>
      </c>
      <c r="J44" s="19">
        <f t="shared" ca="1" si="1"/>
        <v>-497.42742706764426</v>
      </c>
      <c r="K44" s="13">
        <f ca="1">'CC examples - SME'!K44</f>
        <v>25872.666831492494</v>
      </c>
      <c r="L44" s="14">
        <f ca="1">'CC examples - SME'!L44</f>
        <v>0.40996582127032233</v>
      </c>
      <c r="N44" s="9">
        <f t="shared" si="2"/>
        <v>1.0000000000000006E-6</v>
      </c>
      <c r="O44" s="9">
        <f t="shared" si="0"/>
        <v>7.2899999999999994E-4</v>
      </c>
      <c r="P44" s="9">
        <f t="shared" si="0"/>
        <v>0.177978515625</v>
      </c>
      <c r="Q44" s="9">
        <f t="shared" si="0"/>
        <v>0.73509189062499991</v>
      </c>
      <c r="R44" s="9">
        <f t="shared" si="0"/>
        <v>1</v>
      </c>
    </row>
    <row r="45" spans="1:18" x14ac:dyDescent="0.25">
      <c r="A45" s="11">
        <f>'CC examples - SME'!A45</f>
        <v>15</v>
      </c>
      <c r="B45" s="12" t="str">
        <f>'CC examples - SME'!B45</f>
        <v>201309</v>
      </c>
      <c r="C45" s="13">
        <f>'CC examples - SME'!C45</f>
        <v>62933.526409999999</v>
      </c>
      <c r="D45" s="13">
        <f ca="1">'CC examples - SME'!D45</f>
        <v>27402.4918</v>
      </c>
      <c r="E45" s="14">
        <f ca="1">'CC examples - SME'!E45</f>
        <v>1.0220717607054832</v>
      </c>
      <c r="F45" s="17">
        <f ca="1">'CC examples - SME'!F45</f>
        <v>-591.76005540558981</v>
      </c>
      <c r="G45" s="17">
        <f ca="1">'CC examples - SME'!G45</f>
        <v>26810.73174459441</v>
      </c>
      <c r="H45" s="14">
        <f ca="1">'CC examples - SME'!H45</f>
        <v>0.42601667622957551</v>
      </c>
      <c r="I45" s="39">
        <f t="shared" ca="1" si="3"/>
        <v>0.55688401949168354</v>
      </c>
      <c r="J45" s="19">
        <f t="shared" ca="1" si="1"/>
        <v>-773.54182738917098</v>
      </c>
      <c r="K45" s="13">
        <f ca="1">'CC examples - SME'!K45</f>
        <v>26711.138284034245</v>
      </c>
      <c r="L45" s="14">
        <f ca="1">'CC examples - SME'!L45</f>
        <v>0.42443415787661798</v>
      </c>
      <c r="N45" s="9">
        <f t="shared" si="2"/>
        <v>1.0000000000000006E-5</v>
      </c>
      <c r="O45" s="9">
        <f t="shared" si="0"/>
        <v>2.4299999999999999E-3</v>
      </c>
      <c r="P45" s="9">
        <f t="shared" si="0"/>
        <v>0.2373046875</v>
      </c>
      <c r="Q45" s="9">
        <f t="shared" si="0"/>
        <v>0.77378093749999999</v>
      </c>
      <c r="R45" s="9">
        <f t="shared" si="0"/>
        <v>1</v>
      </c>
    </row>
    <row r="46" spans="1:18" x14ac:dyDescent="0.25">
      <c r="A46" s="11">
        <f>'CC examples - SME'!A46</f>
        <v>16</v>
      </c>
      <c r="B46" s="12" t="str">
        <f>'CC examples - SME'!B46</f>
        <v>201312</v>
      </c>
      <c r="C46" s="13">
        <f>'CC examples - SME'!C46</f>
        <v>63694.446409999997</v>
      </c>
      <c r="D46" s="13">
        <f ca="1">'CC examples - SME'!D46</f>
        <v>45471.026949999999</v>
      </c>
      <c r="E46" s="14">
        <f ca="1">'CC examples - SME'!E46</f>
        <v>1.0308604440914018</v>
      </c>
      <c r="F46" s="17">
        <f ca="1">'CC examples - SME'!F46</f>
        <v>-1361.2473861153194</v>
      </c>
      <c r="G46" s="17">
        <f ca="1">'CC examples - SME'!G46</f>
        <v>44109.77956388468</v>
      </c>
      <c r="H46" s="14">
        <f ca="1">'CC examples - SME'!H46</f>
        <v>0.69252159411121694</v>
      </c>
      <c r="I46" s="39">
        <f t="shared" ca="1" si="3"/>
        <v>0.52976210042527694</v>
      </c>
      <c r="J46" s="19">
        <f t="shared" ca="1" si="1"/>
        <v>-1041.3209935964205</v>
      </c>
      <c r="K46" s="13">
        <f ca="1">'CC examples - SME'!K46</f>
        <v>44492.698083547759</v>
      </c>
      <c r="L46" s="14">
        <f ca="1">'CC examples - SME'!L46</f>
        <v>0.69853339798495251</v>
      </c>
      <c r="N46" s="9">
        <f t="shared" si="2"/>
        <v>1.0000000000000005E-4</v>
      </c>
      <c r="O46" s="9">
        <f t="shared" si="0"/>
        <v>8.0999999999999996E-3</v>
      </c>
      <c r="P46" s="9">
        <f t="shared" si="0"/>
        <v>0.31640625</v>
      </c>
      <c r="Q46" s="9">
        <f t="shared" si="0"/>
        <v>0.81450624999999999</v>
      </c>
      <c r="R46" s="9">
        <f t="shared" si="0"/>
        <v>1</v>
      </c>
    </row>
    <row r="47" spans="1:18" x14ac:dyDescent="0.25">
      <c r="A47" s="11">
        <f>'CC examples - SME'!A47</f>
        <v>17</v>
      </c>
      <c r="B47" s="12" t="str">
        <f>'CC examples - SME'!B47</f>
        <v>201403</v>
      </c>
      <c r="C47" s="13">
        <f>'CC examples - SME'!C47</f>
        <v>64467.466410000001</v>
      </c>
      <c r="D47" s="13">
        <f ca="1">'CC examples - SME'!D47</f>
        <v>38378.895879999996</v>
      </c>
      <c r="E47" s="14">
        <f ca="1">'CC examples - SME'!E47</f>
        <v>1.0364420733806157</v>
      </c>
      <c r="F47" s="17">
        <f ca="1">'CC examples - SME'!F47</f>
        <v>-1349.4304948119898</v>
      </c>
      <c r="G47" s="17">
        <f ca="1">'CC examples - SME'!G47</f>
        <v>37029.465385188007</v>
      </c>
      <c r="H47" s="14">
        <f ca="1">'CC examples - SME'!H47</f>
        <v>0.57438995895523681</v>
      </c>
      <c r="I47" s="39">
        <f t="shared" ca="1" si="3"/>
        <v>0.53491511595683572</v>
      </c>
      <c r="J47" s="19">
        <f t="shared" ca="1" si="1"/>
        <v>-1256.6911352715672</v>
      </c>
      <c r="K47" s="13">
        <f ca="1">'CC examples - SME'!K47</f>
        <v>37209.598948146231</v>
      </c>
      <c r="L47" s="14">
        <f ca="1">'CC examples - SME'!L47</f>
        <v>0.57718413674737479</v>
      </c>
      <c r="N47" s="9">
        <f t="shared" si="2"/>
        <v>1.0000000000000002E-3</v>
      </c>
      <c r="O47" s="9">
        <f t="shared" si="0"/>
        <v>2.7E-2</v>
      </c>
      <c r="P47" s="9">
        <f t="shared" si="0"/>
        <v>0.421875</v>
      </c>
      <c r="Q47" s="9">
        <f t="shared" si="0"/>
        <v>0.85737499999999989</v>
      </c>
      <c r="R47" s="9">
        <f t="shared" si="0"/>
        <v>1</v>
      </c>
    </row>
    <row r="48" spans="1:18" x14ac:dyDescent="0.25">
      <c r="A48" s="11">
        <f>'CC examples - SME'!A48</f>
        <v>18</v>
      </c>
      <c r="B48" s="12" t="str">
        <f>'CC examples - SME'!B48</f>
        <v>201406</v>
      </c>
      <c r="C48" s="13">
        <f>'CC examples - SME'!C48</f>
        <v>66842.736409999998</v>
      </c>
      <c r="D48" s="13">
        <f ca="1">'CC examples - SME'!D48</f>
        <v>38685.951719999997</v>
      </c>
      <c r="E48" s="14">
        <f ca="1">'CC examples - SME'!E48</f>
        <v>1.0460853529098213</v>
      </c>
      <c r="F48" s="17">
        <f ca="1">'CC examples - SME'!F48</f>
        <v>-1704.3119213066748</v>
      </c>
      <c r="G48" s="17">
        <f ca="1">'CC examples - SME'!G48</f>
        <v>36981.639798693323</v>
      </c>
      <c r="H48" s="14">
        <f ca="1">'CC examples - SME'!H48</f>
        <v>0.55326340280049768</v>
      </c>
      <c r="I48" s="39">
        <f t="shared" ca="1" si="3"/>
        <v>0.52673584605078727</v>
      </c>
      <c r="J48" s="19">
        <f t="shared" ca="1" si="1"/>
        <v>-1622.5945494674718</v>
      </c>
      <c r="K48" s="13">
        <f ca="1">'CC examples - SME'!K48</f>
        <v>37152.753637305221</v>
      </c>
      <c r="L48" s="14">
        <f ca="1">'CC examples - SME'!L48</f>
        <v>0.55582334944245326</v>
      </c>
      <c r="N48" s="9">
        <f t="shared" ref="N48:R50" si="4">N$30^ABS($A$50-$A48)</f>
        <v>1.0000000000000002E-2</v>
      </c>
      <c r="O48" s="9">
        <f t="shared" si="0"/>
        <v>0.09</v>
      </c>
      <c r="P48" s="9">
        <f t="shared" si="0"/>
        <v>0.5625</v>
      </c>
      <c r="Q48" s="9">
        <f t="shared" si="0"/>
        <v>0.90249999999999997</v>
      </c>
      <c r="R48" s="9">
        <f t="shared" si="0"/>
        <v>1</v>
      </c>
    </row>
    <row r="49" spans="1:18" x14ac:dyDescent="0.25">
      <c r="A49" s="11">
        <f>'CC examples - SME'!A49</f>
        <v>19</v>
      </c>
      <c r="B49" s="12" t="str">
        <f>'CC examples - SME'!B49</f>
        <v>201409</v>
      </c>
      <c r="C49" s="13">
        <f>'CC examples - SME'!C49</f>
        <v>68593.776410000006</v>
      </c>
      <c r="D49" s="13">
        <f ca="1">'CC examples - SME'!D49</f>
        <v>34819.306790000002</v>
      </c>
      <c r="E49" s="14">
        <f ca="1">'CC examples - SME'!E49</f>
        <v>1.0401053977100547</v>
      </c>
      <c r="F49" s="17">
        <f ca="1">'CC examples - SME'!F49</f>
        <v>-1342.5967694003266</v>
      </c>
      <c r="G49" s="17">
        <f ca="1">'CC examples - SME'!G49</f>
        <v>33476.710020599676</v>
      </c>
      <c r="H49" s="14">
        <f ca="1">'CC examples - SME'!H49</f>
        <v>0.48804296501335714</v>
      </c>
      <c r="I49" s="39">
        <f t="shared" ca="1" si="3"/>
        <v>0.56188509565423561</v>
      </c>
      <c r="J49" s="19">
        <f t="shared" ca="1" si="1"/>
        <v>-1545.7350444113506</v>
      </c>
      <c r="K49" s="13">
        <f ca="1">'CC examples - SME'!K49</f>
        <v>33450.101179377329</v>
      </c>
      <c r="L49" s="14">
        <f ca="1">'CC examples - SME'!L49</f>
        <v>0.48765504583737679</v>
      </c>
      <c r="N49" s="9">
        <f t="shared" si="4"/>
        <v>0.1</v>
      </c>
      <c r="O49" s="9">
        <f t="shared" si="0"/>
        <v>0.3</v>
      </c>
      <c r="P49" s="9">
        <f t="shared" si="0"/>
        <v>0.75</v>
      </c>
      <c r="Q49" s="9">
        <f t="shared" si="0"/>
        <v>0.95</v>
      </c>
      <c r="R49" s="9">
        <f t="shared" si="0"/>
        <v>1</v>
      </c>
    </row>
    <row r="50" spans="1:18" ht="15.75" thickBot="1" x14ac:dyDescent="0.3">
      <c r="A50" s="11">
        <f>'CC examples - SME'!A50</f>
        <v>20</v>
      </c>
      <c r="B50" s="20" t="str">
        <f>'CC examples - SME'!B50</f>
        <v>201412</v>
      </c>
      <c r="C50" s="21">
        <f>'CC examples - SME'!C50</f>
        <v>69620.506410000002</v>
      </c>
      <c r="D50" s="21">
        <f ca="1">'CC examples - SME'!D50</f>
        <v>25472.84679</v>
      </c>
      <c r="E50" s="22">
        <f ca="1">'CC examples - SME'!E50</f>
        <v>0.70852236400063762</v>
      </c>
      <c r="F50" s="23">
        <f ca="1">'CC examples - SME'!F50</f>
        <v>10479.224851280018</v>
      </c>
      <c r="G50" s="23">
        <f ca="1">'CC examples - SME'!G50</f>
        <v>35952.071641280018</v>
      </c>
      <c r="H50" s="22">
        <f ca="1">'CC examples - SME'!H50</f>
        <v>0.51640060515440334</v>
      </c>
      <c r="I50" s="39">
        <f t="shared" ca="1" si="3"/>
        <v>0.57510811910312631</v>
      </c>
      <c r="J50" s="19">
        <f t="shared" ca="1" si="1"/>
        <v>11670.565901208451</v>
      </c>
      <c r="K50" s="21">
        <f ca="1">'CC examples - SME'!K50</f>
        <v>35572.897300654397</v>
      </c>
      <c r="L50" s="22">
        <f ca="1">'CC examples - SME'!L50</f>
        <v>0.51095430261829944</v>
      </c>
      <c r="N50" s="9">
        <f t="shared" si="4"/>
        <v>1</v>
      </c>
      <c r="O50" s="9">
        <f t="shared" si="0"/>
        <v>1</v>
      </c>
      <c r="P50" s="9">
        <f t="shared" si="0"/>
        <v>1</v>
      </c>
      <c r="Q50" s="9">
        <f t="shared" si="0"/>
        <v>1</v>
      </c>
      <c r="R50" s="9">
        <f t="shared" si="0"/>
        <v>1</v>
      </c>
    </row>
    <row r="51" spans="1:18" ht="15.75" thickBot="1" x14ac:dyDescent="0.3">
      <c r="A51">
        <f>'CC examples - SME'!A51</f>
        <v>0</v>
      </c>
      <c r="B51" s="27" t="str">
        <f>'CC examples - SME'!B51</f>
        <v>Total</v>
      </c>
      <c r="C51" s="28">
        <f>SUM(C31:C50)</f>
        <v>1212009.6782</v>
      </c>
      <c r="D51" s="28">
        <f ca="1">SUM(D31:D50)</f>
        <v>600422.9050599999</v>
      </c>
      <c r="E51" s="29"/>
      <c r="F51" s="28">
        <f ca="1">SUM(F31:F50)</f>
        <v>2528.8585340358622</v>
      </c>
      <c r="G51" s="30">
        <f ca="1">SUM(G31:G50)</f>
        <v>602951.76359403576</v>
      </c>
      <c r="H51" s="31">
        <f ca="1">G51/F51</f>
        <v>238.42842748177435</v>
      </c>
      <c r="I51" s="29"/>
      <c r="J51" s="30">
        <f ca="1">SUM(J31:J50)</f>
        <v>3853.1930187376784</v>
      </c>
      <c r="K51" s="30">
        <f ca="1">SUM(K31:K50)</f>
        <v>603235.95202238276</v>
      </c>
      <c r="L51" s="32">
        <f ca="1">K51/C51</f>
        <v>0.49771545794772082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S86"/>
  <sheetViews>
    <sheetView tabSelected="1" topLeftCell="C23" zoomScale="85" zoomScaleNormal="85" workbookViewId="0">
      <selection activeCell="P40" sqref="P40"/>
    </sheetView>
  </sheetViews>
  <sheetFormatPr defaultRowHeight="15" x14ac:dyDescent="0.25"/>
  <cols>
    <col min="1" max="1" width="12.28515625" bestFit="1" customWidth="1"/>
    <col min="2" max="2" width="15.28515625" bestFit="1" customWidth="1"/>
    <col min="3" max="3" width="17.5703125" bestFit="1" customWidth="1"/>
    <col min="4" max="4" width="9" bestFit="1" customWidth="1"/>
    <col min="5" max="5" width="10" bestFit="1" customWidth="1"/>
    <col min="6" max="6" width="12.85546875" bestFit="1" customWidth="1"/>
    <col min="7" max="7" width="10.42578125" bestFit="1" customWidth="1"/>
    <col min="8" max="8" width="15.140625" bestFit="1" customWidth="1"/>
    <col min="9" max="9" width="15.85546875" bestFit="1" customWidth="1"/>
    <col min="10" max="10" width="14.28515625" bestFit="1" customWidth="1"/>
    <col min="11" max="11" width="13.5703125" bestFit="1" customWidth="1"/>
    <col min="12" max="12" width="8.85546875" bestFit="1" customWidth="1"/>
    <col min="13" max="13" width="15.7109375" bestFit="1" customWidth="1"/>
    <col min="14" max="14" width="12.42578125" bestFit="1" customWidth="1"/>
    <col min="15" max="15" width="12.140625" bestFit="1" customWidth="1"/>
    <col min="16" max="19" width="8" bestFit="1" customWidth="1"/>
    <col min="20" max="21" width="7" bestFit="1" customWidth="1"/>
    <col min="22" max="39" width="7.140625" bestFit="1" customWidth="1"/>
    <col min="40" max="40" width="9.5703125" bestFit="1" customWidth="1"/>
    <col min="41" max="41" width="7.140625" bestFit="1" customWidth="1"/>
    <col min="42" max="42" width="9.5703125" bestFit="1" customWidth="1"/>
  </cols>
  <sheetData>
    <row r="1" spans="1:42" x14ac:dyDescent="0.25">
      <c r="A1" s="2" t="s">
        <v>27</v>
      </c>
      <c r="B1" s="2" t="s">
        <v>2</v>
      </c>
      <c r="W1" s="55"/>
      <c r="X1" s="55" t="s">
        <v>2</v>
      </c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</row>
    <row r="2" spans="1:42" x14ac:dyDescent="0.25">
      <c r="A2" s="2" t="s">
        <v>6</v>
      </c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W2" s="54" t="s">
        <v>6</v>
      </c>
      <c r="X2" s="54">
        <v>1</v>
      </c>
      <c r="Y2" s="54">
        <v>2</v>
      </c>
      <c r="Z2" s="54">
        <v>3</v>
      </c>
      <c r="AA2" s="54">
        <v>4</v>
      </c>
      <c r="AB2" s="54">
        <v>5</v>
      </c>
      <c r="AC2" s="54">
        <v>6</v>
      </c>
      <c r="AD2" s="54">
        <v>7</v>
      </c>
      <c r="AE2" s="54">
        <v>8</v>
      </c>
      <c r="AF2" s="54">
        <v>9</v>
      </c>
      <c r="AG2" s="54">
        <v>10</v>
      </c>
      <c r="AH2" s="54">
        <v>11</v>
      </c>
      <c r="AI2" s="54">
        <v>12</v>
      </c>
      <c r="AJ2" s="54">
        <v>13</v>
      </c>
      <c r="AK2" s="54">
        <v>14</v>
      </c>
      <c r="AL2" s="54">
        <v>15</v>
      </c>
      <c r="AM2" s="54">
        <v>16</v>
      </c>
      <c r="AN2" s="54">
        <v>17</v>
      </c>
      <c r="AO2" s="54">
        <v>18</v>
      </c>
      <c r="AP2" s="54">
        <v>19</v>
      </c>
    </row>
    <row r="3" spans="1:42" x14ac:dyDescent="0.25">
      <c r="A3" t="s">
        <v>7</v>
      </c>
      <c r="B3" s="3">
        <v>2013.946441</v>
      </c>
      <c r="C3" s="3">
        <v>3924.7983920000001</v>
      </c>
      <c r="D3" s="3">
        <v>6027.3191349999997</v>
      </c>
      <c r="E3" s="3">
        <v>6476.8752830000003</v>
      </c>
      <c r="F3" s="3">
        <v>5624.0787790000004</v>
      </c>
      <c r="G3" s="3">
        <v>5159.3165429999999</v>
      </c>
      <c r="H3" s="3">
        <v>5213.8515289999996</v>
      </c>
      <c r="I3" s="3">
        <v>6240.6926430000003</v>
      </c>
      <c r="J3" s="3">
        <v>6705.3502500000004</v>
      </c>
      <c r="K3" s="3">
        <v>6716.243297</v>
      </c>
      <c r="L3" s="3">
        <v>7373.2672240000002</v>
      </c>
      <c r="M3" s="3">
        <v>7695.7455790000004</v>
      </c>
      <c r="N3" s="3">
        <v>9011.2466139999997</v>
      </c>
      <c r="O3" s="3">
        <v>9229.5028110000003</v>
      </c>
      <c r="P3" s="3">
        <v>8408.5135379999992</v>
      </c>
      <c r="Q3" s="3">
        <v>8448.1795739999998</v>
      </c>
      <c r="R3" s="3">
        <v>8824.2163760000003</v>
      </c>
      <c r="S3" s="3">
        <v>9202.4968910000007</v>
      </c>
      <c r="T3" s="3">
        <v>9388.4575879999993</v>
      </c>
      <c r="U3" s="3">
        <v>9349.6867120000006</v>
      </c>
      <c r="W3" t="s">
        <v>7</v>
      </c>
      <c r="X3" s="58">
        <f>IFERROR(C3/B3,"")</f>
        <v>1.9488097161368354</v>
      </c>
      <c r="Y3" s="58">
        <f t="shared" ref="Y3:Y20" si="0">IFERROR(D3/C3,"")</f>
        <v>1.5357015910130856</v>
      </c>
      <c r="Z3" s="58">
        <f t="shared" ref="Z3:Z21" si="1">IFERROR(E3/D3,"")</f>
        <v>1.0745864185935461</v>
      </c>
      <c r="AA3" s="58">
        <f t="shared" ref="AA3:AA21" si="2">IFERROR(F3/E3,"")</f>
        <v>0.86833210973841757</v>
      </c>
      <c r="AB3" s="58">
        <f t="shared" ref="AB3:AB21" si="3">IFERROR(G3/F3,"")</f>
        <v>0.91736206865817793</v>
      </c>
      <c r="AC3" s="58">
        <f t="shared" ref="AC3:AC21" si="4">IFERROR(H3/G3,"")</f>
        <v>1.0105701957895936</v>
      </c>
      <c r="AD3" s="58">
        <f t="shared" ref="AD3:AD21" si="5">IFERROR(I3/H3,"")</f>
        <v>1.1969448321051339</v>
      </c>
      <c r="AE3" s="58">
        <f t="shared" ref="AE3:AE21" si="6">IFERROR(J3/I3,"")</f>
        <v>1.0744560954337645</v>
      </c>
      <c r="AF3" s="58">
        <f t="shared" ref="AF3:AF21" si="7">IFERROR(K3/J3,"")</f>
        <v>1.0016245306499836</v>
      </c>
      <c r="AG3" s="58">
        <f t="shared" ref="AG3:AG21" si="8">IFERROR(L3/K3,"")</f>
        <v>1.0978261057477592</v>
      </c>
      <c r="AH3" s="58">
        <f t="shared" ref="AH3:AH21" si="9">IFERROR(M3/L3,"")</f>
        <v>1.0437361545707082</v>
      </c>
      <c r="AI3" s="58">
        <f t="shared" ref="AI3:AI21" si="10">IFERROR(N3/M3,"")</f>
        <v>1.1709387377084961</v>
      </c>
      <c r="AJ3" s="58">
        <f t="shared" ref="AJ3:AJ21" si="11">IFERROR(O3/N3,"")</f>
        <v>1.0242204221401414</v>
      </c>
      <c r="AK3" s="58">
        <f t="shared" ref="AK3:AK21" si="12">IFERROR(P3/O3,"")</f>
        <v>0.91104729151590691</v>
      </c>
      <c r="AL3" s="58">
        <f t="shared" ref="AL3:AL21" si="13">IFERROR(Q3/P3,"")</f>
        <v>1.0047173660149016</v>
      </c>
      <c r="AM3" s="58">
        <f t="shared" ref="AM3:AM21" si="14">IFERROR(R3/Q3,"")</f>
        <v>1.0445109859119575</v>
      </c>
      <c r="AN3" s="58">
        <f t="shared" ref="AN3:AN21" si="15">IFERROR(S3/R3,"")</f>
        <v>1.0428684541359212</v>
      </c>
      <c r="AO3" s="58">
        <f t="shared" ref="AO3:AO21" si="16">IFERROR(T3/S3,"")</f>
        <v>1.0202076348628673</v>
      </c>
      <c r="AP3" s="58">
        <f t="shared" ref="AP3:AP21" si="17">IFERROR(U3/T3,"")</f>
        <v>0.99587036788134886</v>
      </c>
    </row>
    <row r="4" spans="1:42" x14ac:dyDescent="0.25">
      <c r="A4" t="s">
        <v>8</v>
      </c>
      <c r="B4" s="3">
        <v>2531.2208340000002</v>
      </c>
      <c r="C4" s="3">
        <v>4102.4120149999999</v>
      </c>
      <c r="D4" s="3">
        <v>3674.7000880000001</v>
      </c>
      <c r="E4" s="3">
        <v>3868.1824499999998</v>
      </c>
      <c r="F4" s="3">
        <v>4796.172364</v>
      </c>
      <c r="G4" s="3">
        <v>6866.3511060000001</v>
      </c>
      <c r="H4" s="3">
        <v>6072.0771169999998</v>
      </c>
      <c r="I4" s="3">
        <v>6013.9847440000003</v>
      </c>
      <c r="J4" s="3">
        <v>5986.4556789999997</v>
      </c>
      <c r="K4" s="3">
        <v>5787.8813689999997</v>
      </c>
      <c r="L4" s="3">
        <v>5951.2073149999997</v>
      </c>
      <c r="M4" s="3">
        <v>5957.5664360000001</v>
      </c>
      <c r="N4" s="3">
        <v>6047.884556</v>
      </c>
      <c r="O4" s="3">
        <v>6064.7414580000004</v>
      </c>
      <c r="P4" s="3">
        <v>5876.6184279999998</v>
      </c>
      <c r="Q4" s="3">
        <v>5969.3546420000002</v>
      </c>
      <c r="R4" s="3">
        <v>5986.5370569999995</v>
      </c>
      <c r="S4" s="3">
        <v>5997.3836019999999</v>
      </c>
      <c r="T4" s="3">
        <v>5766.6765480000004</v>
      </c>
      <c r="U4" s="3"/>
      <c r="W4" t="s">
        <v>8</v>
      </c>
      <c r="X4" s="58">
        <f t="shared" ref="X4:X21" si="18">IFERROR(C4/B4,"")</f>
        <v>1.6207246558243205</v>
      </c>
      <c r="Y4" s="58">
        <f t="shared" si="0"/>
        <v>0.8957413527856003</v>
      </c>
      <c r="Z4" s="58">
        <f t="shared" si="1"/>
        <v>1.0526525586759665</v>
      </c>
      <c r="AA4" s="58">
        <f t="shared" si="2"/>
        <v>1.2399033463377613</v>
      </c>
      <c r="AB4" s="58">
        <f t="shared" si="3"/>
        <v>1.4316314312510392</v>
      </c>
      <c r="AC4" s="58">
        <f t="shared" si="4"/>
        <v>0.88432371477392957</v>
      </c>
      <c r="AD4" s="58">
        <f t="shared" si="5"/>
        <v>0.99043286640129158</v>
      </c>
      <c r="AE4" s="58">
        <f t="shared" si="6"/>
        <v>0.99542249171359043</v>
      </c>
      <c r="AF4" s="58">
        <f t="shared" si="7"/>
        <v>0.96682940279728746</v>
      </c>
      <c r="AG4" s="58">
        <f t="shared" si="8"/>
        <v>1.0282186063582397</v>
      </c>
      <c r="AH4" s="58">
        <f t="shared" si="9"/>
        <v>1.0010685430137802</v>
      </c>
      <c r="AI4" s="58">
        <f t="shared" si="10"/>
        <v>1.0151602371488855</v>
      </c>
      <c r="AJ4" s="58">
        <f t="shared" si="11"/>
        <v>1.0027872393799708</v>
      </c>
      <c r="AK4" s="58">
        <f t="shared" si="12"/>
        <v>0.96898086566380381</v>
      </c>
      <c r="AL4" s="58">
        <f t="shared" si="13"/>
        <v>1.0157805403117794</v>
      </c>
      <c r="AM4" s="58">
        <f t="shared" si="14"/>
        <v>1.0028784376252509</v>
      </c>
      <c r="AN4" s="58">
        <f t="shared" si="15"/>
        <v>1.0018118229114306</v>
      </c>
      <c r="AO4" s="58">
        <f t="shared" si="16"/>
        <v>0.96153204975531936</v>
      </c>
      <c r="AP4" s="58"/>
    </row>
    <row r="5" spans="1:42" x14ac:dyDescent="0.25">
      <c r="A5" t="s">
        <v>9</v>
      </c>
      <c r="B5" s="3">
        <v>2373.0565879999999</v>
      </c>
      <c r="C5" s="3">
        <v>4426.3900530000001</v>
      </c>
      <c r="D5" s="3">
        <v>7274.1486379999997</v>
      </c>
      <c r="E5" s="3">
        <v>6513.6233300000004</v>
      </c>
      <c r="F5" s="3">
        <v>6699.1306350000004</v>
      </c>
      <c r="G5" s="3">
        <v>7062.8677109999999</v>
      </c>
      <c r="H5" s="3">
        <v>7602.8931110000003</v>
      </c>
      <c r="I5" s="3">
        <v>7727.2970500000001</v>
      </c>
      <c r="J5" s="3">
        <v>7130.4929529999999</v>
      </c>
      <c r="K5" s="3">
        <v>7655.4982710000004</v>
      </c>
      <c r="L5" s="3">
        <v>7948.7967470000003</v>
      </c>
      <c r="M5" s="3">
        <v>8586.5689289999991</v>
      </c>
      <c r="N5" s="3">
        <v>9113.0506789999999</v>
      </c>
      <c r="O5" s="3">
        <v>7730.2964160000001</v>
      </c>
      <c r="P5" s="3">
        <v>7925.092455</v>
      </c>
      <c r="Q5" s="3">
        <v>8275.5765190000002</v>
      </c>
      <c r="R5" s="3">
        <v>8179.6316809999998</v>
      </c>
      <c r="S5" s="3">
        <v>7820.8819219999996</v>
      </c>
      <c r="T5" s="3"/>
      <c r="U5" s="3"/>
      <c r="W5" t="s">
        <v>9</v>
      </c>
      <c r="X5" s="58">
        <f t="shared" si="18"/>
        <v>1.8652694905731426</v>
      </c>
      <c r="Y5" s="58">
        <f t="shared" si="0"/>
        <v>1.643359159699431</v>
      </c>
      <c r="Z5" s="58">
        <f t="shared" si="1"/>
        <v>0.89544820351524979</v>
      </c>
      <c r="AA5" s="58">
        <f t="shared" si="2"/>
        <v>1.0284798944614442</v>
      </c>
      <c r="AB5" s="58">
        <f t="shared" si="3"/>
        <v>1.0542961610719508</v>
      </c>
      <c r="AC5" s="58">
        <f t="shared" si="4"/>
        <v>1.0764597925512527</v>
      </c>
      <c r="AD5" s="58">
        <f t="shared" si="5"/>
        <v>1.0163627105081894</v>
      </c>
      <c r="AE5" s="58">
        <f t="shared" si="6"/>
        <v>0.92276677172647326</v>
      </c>
      <c r="AF5" s="58">
        <f t="shared" si="7"/>
        <v>1.0736281939356123</v>
      </c>
      <c r="AG5" s="58">
        <f t="shared" si="8"/>
        <v>1.0383121340528614</v>
      </c>
      <c r="AH5" s="58">
        <f t="shared" si="9"/>
        <v>1.0802350597580324</v>
      </c>
      <c r="AI5" s="58">
        <f t="shared" si="10"/>
        <v>1.0613145663131962</v>
      </c>
      <c r="AJ5" s="58">
        <f t="shared" si="11"/>
        <v>0.84826658912515418</v>
      </c>
      <c r="AK5" s="58">
        <f t="shared" si="12"/>
        <v>1.0251990387583088</v>
      </c>
      <c r="AL5" s="58">
        <f t="shared" si="13"/>
        <v>1.0442246025507094</v>
      </c>
      <c r="AM5" s="58">
        <f t="shared" si="14"/>
        <v>0.98840626537864529</v>
      </c>
      <c r="AN5" s="58">
        <f t="shared" si="15"/>
        <v>0.95614108642161488</v>
      </c>
      <c r="AO5" s="58"/>
      <c r="AP5" s="58" t="str">
        <f t="shared" si="17"/>
        <v/>
      </c>
    </row>
    <row r="6" spans="1:42" x14ac:dyDescent="0.25">
      <c r="A6" t="s">
        <v>10</v>
      </c>
      <c r="B6" s="3">
        <v>3664.5859460000001</v>
      </c>
      <c r="C6" s="3">
        <v>6028.3305490000002</v>
      </c>
      <c r="D6" s="3">
        <v>5679.3345429999999</v>
      </c>
      <c r="E6" s="3">
        <v>5792.7756829999998</v>
      </c>
      <c r="F6" s="3">
        <v>5157.6657290000003</v>
      </c>
      <c r="G6" s="3">
        <v>5202.5864680000004</v>
      </c>
      <c r="H6" s="3">
        <v>4824.1083200000003</v>
      </c>
      <c r="I6" s="3">
        <v>4749.066041</v>
      </c>
      <c r="J6" s="3">
        <v>5152.469153</v>
      </c>
      <c r="K6" s="3">
        <v>5240.3924310000002</v>
      </c>
      <c r="L6" s="3">
        <v>5260.8299720000005</v>
      </c>
      <c r="M6" s="3">
        <v>5360.6228339999998</v>
      </c>
      <c r="N6" s="3">
        <v>5261.9111380000004</v>
      </c>
      <c r="O6" s="3">
        <v>5605.5826889999998</v>
      </c>
      <c r="P6" s="3">
        <v>5472.9246800000001</v>
      </c>
      <c r="Q6" s="3">
        <v>5358.541878</v>
      </c>
      <c r="R6" s="3">
        <v>6050.6862890000002</v>
      </c>
      <c r="S6" s="3"/>
      <c r="T6" s="3"/>
      <c r="U6" s="3"/>
      <c r="W6" t="s">
        <v>10</v>
      </c>
      <c r="X6" s="58">
        <f t="shared" si="18"/>
        <v>1.6450236501016151</v>
      </c>
      <c r="Y6" s="58">
        <f t="shared" si="0"/>
        <v>0.94210735407369239</v>
      </c>
      <c r="Z6" s="58">
        <f t="shared" si="1"/>
        <v>1.0199743718460503</v>
      </c>
      <c r="AA6" s="58">
        <f t="shared" si="2"/>
        <v>0.89036172143453607</v>
      </c>
      <c r="AB6" s="58">
        <f t="shared" si="3"/>
        <v>1.0087095095650391</v>
      </c>
      <c r="AC6" s="58">
        <f t="shared" si="4"/>
        <v>0.92725192549361002</v>
      </c>
      <c r="AD6" s="58">
        <f t="shared" si="5"/>
        <v>0.98444432130827442</v>
      </c>
      <c r="AE6" s="58">
        <f t="shared" si="6"/>
        <v>1.0849436728226791</v>
      </c>
      <c r="AF6" s="58">
        <f t="shared" si="7"/>
        <v>1.017064299734586</v>
      </c>
      <c r="AG6" s="58">
        <f t="shared" si="8"/>
        <v>1.0039000020073114</v>
      </c>
      <c r="AH6" s="58">
        <f t="shared" si="9"/>
        <v>1.0189690338846022</v>
      </c>
      <c r="AI6" s="58">
        <f t="shared" si="10"/>
        <v>0.98158577854537432</v>
      </c>
      <c r="AJ6" s="58">
        <f t="shared" si="11"/>
        <v>1.0653130662960275</v>
      </c>
      <c r="AK6" s="58">
        <f t="shared" si="12"/>
        <v>0.97633466200394858</v>
      </c>
      <c r="AL6" s="58">
        <f t="shared" si="13"/>
        <v>0.97910024188383316</v>
      </c>
      <c r="AM6" s="58">
        <f t="shared" si="14"/>
        <v>1.1291665581343433</v>
      </c>
      <c r="AN6" s="58"/>
      <c r="AO6" s="58" t="str">
        <f t="shared" si="16"/>
        <v/>
      </c>
      <c r="AP6" s="58" t="str">
        <f t="shared" si="17"/>
        <v/>
      </c>
    </row>
    <row r="7" spans="1:42" x14ac:dyDescent="0.25">
      <c r="A7" t="s">
        <v>11</v>
      </c>
      <c r="B7" s="3">
        <v>3685.2443709999998</v>
      </c>
      <c r="C7" s="3">
        <v>6009.2299350000003</v>
      </c>
      <c r="D7" s="3">
        <v>6655.2096849999998</v>
      </c>
      <c r="E7" s="3">
        <v>5535.0627100000002</v>
      </c>
      <c r="F7" s="3">
        <v>6291.728368</v>
      </c>
      <c r="G7" s="3">
        <v>6971.8869400000003</v>
      </c>
      <c r="H7" s="3">
        <v>6792.6806299999998</v>
      </c>
      <c r="I7" s="3">
        <v>6362.0158380000003</v>
      </c>
      <c r="J7" s="3">
        <v>6510.1240699999998</v>
      </c>
      <c r="K7" s="3">
        <v>6456.6586260000004</v>
      </c>
      <c r="L7" s="3">
        <v>6734.0302350000002</v>
      </c>
      <c r="M7" s="3">
        <v>6836.1481869999998</v>
      </c>
      <c r="N7" s="3">
        <v>7816.8827670000001</v>
      </c>
      <c r="O7" s="3">
        <v>8117.4936509999998</v>
      </c>
      <c r="P7" s="3">
        <v>8601.7168899999997</v>
      </c>
      <c r="Q7" s="3">
        <v>8508.0506409999998</v>
      </c>
      <c r="R7" s="3"/>
      <c r="S7" s="3"/>
      <c r="T7" s="3"/>
      <c r="U7" s="3"/>
      <c r="W7" t="s">
        <v>11</v>
      </c>
      <c r="X7" s="58">
        <f t="shared" si="18"/>
        <v>1.630619120481658</v>
      </c>
      <c r="Y7" s="58">
        <f t="shared" si="0"/>
        <v>1.107497925189644</v>
      </c>
      <c r="Z7" s="58">
        <f t="shared" si="1"/>
        <v>0.83168870283310992</v>
      </c>
      <c r="AA7" s="58">
        <f t="shared" si="2"/>
        <v>1.1367040804493433</v>
      </c>
      <c r="AB7" s="58">
        <f t="shared" si="3"/>
        <v>1.1081036135411242</v>
      </c>
      <c r="AC7" s="58">
        <f t="shared" si="4"/>
        <v>0.97429586688048031</v>
      </c>
      <c r="AD7" s="58">
        <f t="shared" si="5"/>
        <v>0.93659869859066236</v>
      </c>
      <c r="AE7" s="58">
        <f t="shared" si="6"/>
        <v>1.0232800791087875</v>
      </c>
      <c r="AF7" s="58">
        <f t="shared" si="7"/>
        <v>0.99178733870121161</v>
      </c>
      <c r="AG7" s="58">
        <f t="shared" si="8"/>
        <v>1.0429590017169355</v>
      </c>
      <c r="AH7" s="58">
        <f t="shared" si="9"/>
        <v>1.0151644629495786</v>
      </c>
      <c r="AI7" s="58">
        <f t="shared" si="10"/>
        <v>1.1434630369577155</v>
      </c>
      <c r="AJ7" s="58">
        <f t="shared" si="11"/>
        <v>1.038456619212593</v>
      </c>
      <c r="AK7" s="58">
        <f t="shared" si="12"/>
        <v>1.0596518161662312</v>
      </c>
      <c r="AL7" s="58">
        <f t="shared" si="13"/>
        <v>0.98911074960989565</v>
      </c>
      <c r="AM7" s="58"/>
      <c r="AN7" s="58" t="str">
        <f t="shared" si="15"/>
        <v/>
      </c>
      <c r="AO7" s="58" t="str">
        <f t="shared" si="16"/>
        <v/>
      </c>
      <c r="AP7" s="58" t="str">
        <f t="shared" si="17"/>
        <v/>
      </c>
    </row>
    <row r="8" spans="1:42" x14ac:dyDescent="0.25">
      <c r="A8" t="s">
        <v>12</v>
      </c>
      <c r="B8" s="3">
        <v>5623.5091320000001</v>
      </c>
      <c r="C8" s="3">
        <v>9330.1908330000006</v>
      </c>
      <c r="D8" s="3">
        <v>8640.3133839999991</v>
      </c>
      <c r="E8" s="3">
        <v>7675.8079319999997</v>
      </c>
      <c r="F8" s="3">
        <v>7066.0647099999996</v>
      </c>
      <c r="G8" s="3">
        <v>6535.0257840000004</v>
      </c>
      <c r="H8" s="3">
        <v>7004.2986950000004</v>
      </c>
      <c r="I8" s="3">
        <v>6964.6442850000003</v>
      </c>
      <c r="J8" s="3">
        <v>7006.5772829999996</v>
      </c>
      <c r="K8" s="3">
        <v>7243.7480859999996</v>
      </c>
      <c r="L8" s="3">
        <v>7123.773443</v>
      </c>
      <c r="M8" s="3">
        <v>7118.9605069999998</v>
      </c>
      <c r="N8" s="3">
        <v>7294.0746589999999</v>
      </c>
      <c r="O8" s="3">
        <v>7250.9791160000004</v>
      </c>
      <c r="P8" s="3">
        <v>6981.2221769999996</v>
      </c>
      <c r="Q8" s="3"/>
      <c r="R8" s="3"/>
      <c r="S8" s="3"/>
      <c r="T8" s="3"/>
      <c r="U8" s="3"/>
      <c r="W8" t="s">
        <v>12</v>
      </c>
      <c r="X8" s="58">
        <f t="shared" si="18"/>
        <v>1.6591403363973412</v>
      </c>
      <c r="Y8" s="58">
        <f t="shared" si="0"/>
        <v>0.92605966358587544</v>
      </c>
      <c r="Z8" s="58">
        <f t="shared" si="1"/>
        <v>0.88837147344839873</v>
      </c>
      <c r="AA8" s="58">
        <f t="shared" si="2"/>
        <v>0.92056299123144869</v>
      </c>
      <c r="AB8" s="58">
        <f t="shared" si="3"/>
        <v>0.92484658041010226</v>
      </c>
      <c r="AC8" s="58">
        <f t="shared" si="4"/>
        <v>1.0718088843886342</v>
      </c>
      <c r="AD8" s="58">
        <f t="shared" si="5"/>
        <v>0.99433856097137785</v>
      </c>
      <c r="AE8" s="58">
        <f t="shared" si="6"/>
        <v>1.0060208384353975</v>
      </c>
      <c r="AF8" s="58">
        <f t="shared" si="7"/>
        <v>1.0338497376708375</v>
      </c>
      <c r="AG8" s="58">
        <f t="shared" si="8"/>
        <v>0.98343749098179234</v>
      </c>
      <c r="AH8" s="58">
        <f t="shared" si="9"/>
        <v>0.99932438390432954</v>
      </c>
      <c r="AI8" s="58">
        <f t="shared" si="10"/>
        <v>1.0245982755246095</v>
      </c>
      <c r="AJ8" s="58">
        <f t="shared" si="11"/>
        <v>0.99409170525190271</v>
      </c>
      <c r="AK8" s="58">
        <f t="shared" si="12"/>
        <v>0.96279717060489722</v>
      </c>
      <c r="AL8" s="58"/>
      <c r="AM8" s="58" t="str">
        <f t="shared" si="14"/>
        <v/>
      </c>
      <c r="AN8" s="58" t="str">
        <f t="shared" si="15"/>
        <v/>
      </c>
      <c r="AO8" s="58" t="str">
        <f t="shared" si="16"/>
        <v/>
      </c>
      <c r="AP8" s="58" t="str">
        <f t="shared" si="17"/>
        <v/>
      </c>
    </row>
    <row r="9" spans="1:42" x14ac:dyDescent="0.25">
      <c r="A9" t="s">
        <v>13</v>
      </c>
      <c r="B9" s="3">
        <v>6359.5279920000003</v>
      </c>
      <c r="C9" s="3">
        <v>8484.6951119999994</v>
      </c>
      <c r="D9" s="3">
        <v>9147.1946260000004</v>
      </c>
      <c r="E9" s="3">
        <v>6628.1572630000001</v>
      </c>
      <c r="F9" s="3">
        <v>6883.1382560000002</v>
      </c>
      <c r="G9" s="3">
        <v>6989.9063880000003</v>
      </c>
      <c r="H9" s="3">
        <v>7416.5836499999996</v>
      </c>
      <c r="I9" s="3">
        <v>7768.2186339999998</v>
      </c>
      <c r="J9" s="3">
        <v>8116.9356289999996</v>
      </c>
      <c r="K9" s="3">
        <v>7775.4961649999996</v>
      </c>
      <c r="L9" s="3">
        <v>7907.968167</v>
      </c>
      <c r="M9" s="3">
        <v>7946.1926460000004</v>
      </c>
      <c r="N9" s="3">
        <v>7905.0850559999999</v>
      </c>
      <c r="O9" s="3">
        <v>7503.6233940000002</v>
      </c>
      <c r="P9" s="3"/>
      <c r="Q9" s="3"/>
      <c r="R9" s="3"/>
      <c r="S9" s="3"/>
      <c r="T9" s="3"/>
      <c r="U9" s="3"/>
      <c r="W9" t="s">
        <v>13</v>
      </c>
      <c r="X9" s="58">
        <f t="shared" si="18"/>
        <v>1.3341705740855867</v>
      </c>
      <c r="Y9" s="58">
        <f t="shared" si="0"/>
        <v>1.0780817112759915</v>
      </c>
      <c r="Z9" s="58">
        <f t="shared" si="1"/>
        <v>0.72461093635857654</v>
      </c>
      <c r="AA9" s="58">
        <f t="shared" si="2"/>
        <v>1.0384693637888416</v>
      </c>
      <c r="AB9" s="58">
        <f t="shared" si="3"/>
        <v>1.0155115483706769</v>
      </c>
      <c r="AC9" s="58">
        <f t="shared" si="4"/>
        <v>1.0610419136274132</v>
      </c>
      <c r="AD9" s="58">
        <f t="shared" si="5"/>
        <v>1.0474119892115017</v>
      </c>
      <c r="AE9" s="58">
        <f t="shared" si="6"/>
        <v>1.0448902137581109</v>
      </c>
      <c r="AF9" s="58">
        <f t="shared" si="7"/>
        <v>0.95793493017486631</v>
      </c>
      <c r="AG9" s="58">
        <f t="shared" si="8"/>
        <v>1.0170371123834256</v>
      </c>
      <c r="AH9" s="58">
        <f t="shared" si="9"/>
        <v>1.0048336662708774</v>
      </c>
      <c r="AI9" s="58">
        <f t="shared" si="10"/>
        <v>0.99482675643149765</v>
      </c>
      <c r="AJ9" s="58">
        <f t="shared" si="11"/>
        <v>0.9492147574433385</v>
      </c>
      <c r="AK9" s="58"/>
      <c r="AL9" s="58" t="str">
        <f t="shared" si="13"/>
        <v/>
      </c>
      <c r="AM9" s="58" t="str">
        <f t="shared" si="14"/>
        <v/>
      </c>
      <c r="AN9" s="58" t="str">
        <f t="shared" si="15"/>
        <v/>
      </c>
      <c r="AO9" s="58" t="str">
        <f t="shared" si="16"/>
        <v/>
      </c>
      <c r="AP9" s="58" t="str">
        <f t="shared" si="17"/>
        <v/>
      </c>
    </row>
    <row r="10" spans="1:42" x14ac:dyDescent="0.25">
      <c r="A10" t="s">
        <v>14</v>
      </c>
      <c r="B10" s="3">
        <v>3654.8670699999998</v>
      </c>
      <c r="C10" s="3">
        <v>4337.5018630000004</v>
      </c>
      <c r="D10" s="3">
        <v>3999.7592930000001</v>
      </c>
      <c r="E10" s="3">
        <v>4567.8485280000004</v>
      </c>
      <c r="F10" s="3">
        <v>6659.1623380000001</v>
      </c>
      <c r="G10" s="3">
        <v>6570.5066569999999</v>
      </c>
      <c r="H10" s="3">
        <v>6598.8960049999996</v>
      </c>
      <c r="I10" s="3">
        <v>6949.1940619999996</v>
      </c>
      <c r="J10" s="3">
        <v>7302.9913790000001</v>
      </c>
      <c r="K10" s="3">
        <v>7384.1137689999996</v>
      </c>
      <c r="L10" s="3">
        <v>8192.2917959999995</v>
      </c>
      <c r="M10" s="3">
        <v>8634.6169140000002</v>
      </c>
      <c r="N10" s="3">
        <v>8644.1149060000007</v>
      </c>
      <c r="O10" s="3"/>
      <c r="P10" s="3"/>
      <c r="Q10" s="3"/>
      <c r="R10" s="3"/>
      <c r="S10" s="3"/>
      <c r="T10" s="3"/>
      <c r="U10" s="3"/>
      <c r="W10" t="s">
        <v>14</v>
      </c>
      <c r="X10" s="58">
        <f t="shared" si="18"/>
        <v>1.1867741780824879</v>
      </c>
      <c r="Y10" s="58">
        <f t="shared" si="0"/>
        <v>0.92213431125389689</v>
      </c>
      <c r="Z10" s="58">
        <f t="shared" si="1"/>
        <v>1.1420308557052961</v>
      </c>
      <c r="AA10" s="58">
        <f t="shared" si="2"/>
        <v>1.4578334411004794</v>
      </c>
      <c r="AB10" s="58">
        <f t="shared" si="3"/>
        <v>0.98668666170006203</v>
      </c>
      <c r="AC10" s="58">
        <f t="shared" si="4"/>
        <v>1.0043207243340595</v>
      </c>
      <c r="AD10" s="58">
        <f t="shared" si="5"/>
        <v>1.0530843427043823</v>
      </c>
      <c r="AE10" s="58">
        <f t="shared" si="6"/>
        <v>1.0509119926488535</v>
      </c>
      <c r="AF10" s="58">
        <f t="shared" si="7"/>
        <v>1.0111081043082248</v>
      </c>
      <c r="AG10" s="58">
        <f t="shared" si="8"/>
        <v>1.1094482089906164</v>
      </c>
      <c r="AH10" s="58">
        <f t="shared" si="9"/>
        <v>1.0539928421758575</v>
      </c>
      <c r="AI10" s="58">
        <f t="shared" si="10"/>
        <v>1.0010999899699777</v>
      </c>
      <c r="AJ10" s="58"/>
      <c r="AK10" s="58" t="str">
        <f t="shared" si="12"/>
        <v/>
      </c>
      <c r="AL10" s="58" t="str">
        <f t="shared" si="13"/>
        <v/>
      </c>
      <c r="AM10" s="58" t="str">
        <f t="shared" si="14"/>
        <v/>
      </c>
      <c r="AN10" s="58" t="str">
        <f t="shared" si="15"/>
        <v/>
      </c>
      <c r="AO10" s="58" t="str">
        <f t="shared" si="16"/>
        <v/>
      </c>
      <c r="AP10" s="58" t="str">
        <f t="shared" si="17"/>
        <v/>
      </c>
    </row>
    <row r="11" spans="1:42" x14ac:dyDescent="0.25">
      <c r="A11" t="s">
        <v>15</v>
      </c>
      <c r="B11" s="3">
        <v>1202.8039240000001</v>
      </c>
      <c r="C11" s="3">
        <v>2897.1202450000001</v>
      </c>
      <c r="D11" s="3">
        <v>3288.5607690000002</v>
      </c>
      <c r="E11" s="3">
        <v>2418.3609670000001</v>
      </c>
      <c r="F11" s="3">
        <v>2197.3262880000002</v>
      </c>
      <c r="G11" s="3">
        <v>3144.428441</v>
      </c>
      <c r="H11" s="3">
        <v>3153.2289059999998</v>
      </c>
      <c r="I11" s="3">
        <v>3073.0714290000001</v>
      </c>
      <c r="J11" s="3">
        <v>3108.656931</v>
      </c>
      <c r="K11" s="3">
        <v>2366.9183509999998</v>
      </c>
      <c r="L11" s="3">
        <v>1991.5093220000001</v>
      </c>
      <c r="M11" s="3">
        <v>2082.8039800000001</v>
      </c>
      <c r="N11" s="3"/>
      <c r="O11" s="3"/>
      <c r="P11" s="3"/>
      <c r="Q11" s="3"/>
      <c r="R11" s="3"/>
      <c r="S11" s="3"/>
      <c r="T11" s="3"/>
      <c r="U11" s="3"/>
      <c r="W11" t="s">
        <v>15</v>
      </c>
      <c r="X11" s="58">
        <f t="shared" si="18"/>
        <v>2.4086388372973082</v>
      </c>
      <c r="Y11" s="58">
        <f t="shared" si="0"/>
        <v>1.1351136614628159</v>
      </c>
      <c r="Z11" s="58">
        <f t="shared" si="1"/>
        <v>0.73538582281859</v>
      </c>
      <c r="AA11" s="58">
        <f t="shared" si="2"/>
        <v>0.90860145279544624</v>
      </c>
      <c r="AB11" s="58">
        <f t="shared" si="3"/>
        <v>1.4310248132798016</v>
      </c>
      <c r="AC11" s="58">
        <f t="shared" si="4"/>
        <v>1.0027987486963452</v>
      </c>
      <c r="AD11" s="58">
        <f t="shared" si="5"/>
        <v>0.97457923944326552</v>
      </c>
      <c r="AE11" s="58">
        <f t="shared" si="6"/>
        <v>1.011579783556017</v>
      </c>
      <c r="AF11" s="58">
        <f t="shared" si="7"/>
        <v>0.76139580646443483</v>
      </c>
      <c r="AG11" s="58">
        <f t="shared" si="8"/>
        <v>0.84139333372382996</v>
      </c>
      <c r="AH11" s="58">
        <f t="shared" si="9"/>
        <v>1.0458419435909625</v>
      </c>
      <c r="AI11" s="58"/>
      <c r="AJ11" s="58" t="str">
        <f t="shared" si="11"/>
        <v/>
      </c>
      <c r="AK11" s="58" t="str">
        <f t="shared" si="12"/>
        <v/>
      </c>
      <c r="AL11" s="58" t="str">
        <f t="shared" si="13"/>
        <v/>
      </c>
      <c r="AM11" s="58" t="str">
        <f t="shared" si="14"/>
        <v/>
      </c>
      <c r="AN11" s="58" t="str">
        <f t="shared" si="15"/>
        <v/>
      </c>
      <c r="AO11" s="58" t="str">
        <f t="shared" si="16"/>
        <v/>
      </c>
      <c r="AP11" s="58" t="str">
        <f t="shared" si="17"/>
        <v/>
      </c>
    </row>
    <row r="12" spans="1:42" x14ac:dyDescent="0.25">
      <c r="A12" t="s">
        <v>16</v>
      </c>
      <c r="B12" s="3">
        <v>1110.2537170000001</v>
      </c>
      <c r="C12" s="3">
        <v>2110.9608199999998</v>
      </c>
      <c r="D12" s="3">
        <v>3328.017546</v>
      </c>
      <c r="E12" s="3">
        <v>5474.0174720000005</v>
      </c>
      <c r="F12" s="3">
        <v>5593.3759659999996</v>
      </c>
      <c r="G12" s="3">
        <v>5660.3850599999996</v>
      </c>
      <c r="H12" s="3">
        <v>4710.0161550000003</v>
      </c>
      <c r="I12" s="3">
        <v>4873.516482</v>
      </c>
      <c r="J12" s="3">
        <v>4568.5693060000003</v>
      </c>
      <c r="K12" s="3">
        <v>4547.1319759999997</v>
      </c>
      <c r="L12" s="3">
        <v>4600.6671729999998</v>
      </c>
      <c r="M12" s="3"/>
      <c r="N12" s="3"/>
      <c r="O12" s="3"/>
      <c r="P12" s="3"/>
      <c r="Q12" s="3"/>
      <c r="R12" s="3"/>
      <c r="S12" s="3"/>
      <c r="T12" s="3"/>
      <c r="U12" s="3"/>
      <c r="W12" t="s">
        <v>16</v>
      </c>
      <c r="X12" s="58">
        <f t="shared" si="18"/>
        <v>1.901331909704383</v>
      </c>
      <c r="Y12" s="58">
        <f t="shared" si="0"/>
        <v>1.5765415987209086</v>
      </c>
      <c r="Z12" s="58">
        <f t="shared" si="1"/>
        <v>1.6448283088469031</v>
      </c>
      <c r="AA12" s="58">
        <f t="shared" si="2"/>
        <v>1.0218045511565366</v>
      </c>
      <c r="AB12" s="58">
        <f t="shared" si="3"/>
        <v>1.0119800804393131</v>
      </c>
      <c r="AC12" s="58">
        <f t="shared" si="4"/>
        <v>0.83210172189239728</v>
      </c>
      <c r="AD12" s="58">
        <f t="shared" si="5"/>
        <v>1.0347133261584323</v>
      </c>
      <c r="AE12" s="58">
        <f t="shared" si="6"/>
        <v>0.93742769166241635</v>
      </c>
      <c r="AF12" s="58">
        <f t="shared" si="7"/>
        <v>0.99530764916451053</v>
      </c>
      <c r="AG12" s="58">
        <f t="shared" si="8"/>
        <v>1.0117733985471637</v>
      </c>
      <c r="AH12" s="58"/>
      <c r="AI12" s="58" t="str">
        <f t="shared" si="10"/>
        <v/>
      </c>
      <c r="AJ12" s="58" t="str">
        <f t="shared" si="11"/>
        <v/>
      </c>
      <c r="AK12" s="58" t="str">
        <f t="shared" si="12"/>
        <v/>
      </c>
      <c r="AL12" s="58" t="str">
        <f t="shared" si="13"/>
        <v/>
      </c>
      <c r="AM12" s="58" t="str">
        <f t="shared" si="14"/>
        <v/>
      </c>
      <c r="AN12" s="58" t="str">
        <f t="shared" si="15"/>
        <v/>
      </c>
      <c r="AO12" s="58" t="str">
        <f t="shared" si="16"/>
        <v/>
      </c>
      <c r="AP12" s="58" t="str">
        <f t="shared" si="17"/>
        <v/>
      </c>
    </row>
    <row r="13" spans="1:42" x14ac:dyDescent="0.25">
      <c r="A13" t="s">
        <v>17</v>
      </c>
      <c r="B13" s="3">
        <v>775.70814529999996</v>
      </c>
      <c r="C13" s="3">
        <v>3290.3510879999999</v>
      </c>
      <c r="D13" s="3">
        <v>6314.5491259999999</v>
      </c>
      <c r="E13" s="3">
        <v>7099.3832490000004</v>
      </c>
      <c r="F13" s="3">
        <v>7206.3838900000001</v>
      </c>
      <c r="G13" s="3">
        <v>6951.1238869999997</v>
      </c>
      <c r="H13" s="3">
        <v>6910.5626920000004</v>
      </c>
      <c r="I13" s="3">
        <v>6848.320033</v>
      </c>
      <c r="J13" s="3">
        <v>6906.1682719999999</v>
      </c>
      <c r="K13" s="3">
        <v>6825.708533</v>
      </c>
      <c r="L13" s="3"/>
      <c r="M13" s="3"/>
      <c r="N13" s="3"/>
      <c r="O13" s="3"/>
      <c r="P13" s="3"/>
      <c r="Q13" s="3"/>
      <c r="R13" s="3"/>
      <c r="S13" s="3"/>
      <c r="T13" s="3"/>
      <c r="U13" s="3"/>
      <c r="W13" t="s">
        <v>17</v>
      </c>
      <c r="X13" s="58">
        <f t="shared" si="18"/>
        <v>4.2417384784937102</v>
      </c>
      <c r="Y13" s="58">
        <f t="shared" si="0"/>
        <v>1.9191110483708966</v>
      </c>
      <c r="Z13" s="58">
        <f t="shared" si="1"/>
        <v>1.124289811883554</v>
      </c>
      <c r="AA13" s="58">
        <f t="shared" si="2"/>
        <v>1.0150718220508903</v>
      </c>
      <c r="AB13" s="58">
        <f t="shared" si="3"/>
        <v>0.96457862821404583</v>
      </c>
      <c r="AC13" s="58">
        <f t="shared" si="4"/>
        <v>0.99416480044675126</v>
      </c>
      <c r="AD13" s="58">
        <f t="shared" si="5"/>
        <v>0.99099311275013025</v>
      </c>
      <c r="AE13" s="58">
        <f t="shared" si="6"/>
        <v>1.0084470700436379</v>
      </c>
      <c r="AF13" s="58">
        <f t="shared" si="7"/>
        <v>0.98834958317969002</v>
      </c>
      <c r="AG13" s="58"/>
      <c r="AH13" s="58" t="str">
        <f t="shared" si="9"/>
        <v/>
      </c>
      <c r="AI13" s="58" t="str">
        <f t="shared" si="10"/>
        <v/>
      </c>
      <c r="AJ13" s="58" t="str">
        <f t="shared" si="11"/>
        <v/>
      </c>
      <c r="AK13" s="58" t="str">
        <f t="shared" si="12"/>
        <v/>
      </c>
      <c r="AL13" s="58" t="str">
        <f t="shared" si="13"/>
        <v/>
      </c>
      <c r="AM13" s="58" t="str">
        <f t="shared" si="14"/>
        <v/>
      </c>
      <c r="AN13" s="58" t="str">
        <f t="shared" si="15"/>
        <v/>
      </c>
      <c r="AO13" s="58" t="str">
        <f t="shared" si="16"/>
        <v/>
      </c>
      <c r="AP13" s="58" t="str">
        <f t="shared" si="17"/>
        <v/>
      </c>
    </row>
    <row r="14" spans="1:42" x14ac:dyDescent="0.25">
      <c r="A14" t="s">
        <v>18</v>
      </c>
      <c r="B14" s="3">
        <v>1857.653892</v>
      </c>
      <c r="C14" s="3">
        <v>3064.3523420000001</v>
      </c>
      <c r="D14" s="3">
        <v>3964.8945680000002</v>
      </c>
      <c r="E14" s="3">
        <v>3906.1744210000002</v>
      </c>
      <c r="F14" s="3">
        <v>4058.235306</v>
      </c>
      <c r="G14" s="3">
        <v>4269.9347479999997</v>
      </c>
      <c r="H14" s="3">
        <v>4018.8134049999999</v>
      </c>
      <c r="I14" s="3">
        <v>3867.2756650000001</v>
      </c>
      <c r="J14" s="3">
        <v>5107.3856580000001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W14" t="s">
        <v>18</v>
      </c>
      <c r="X14" s="58">
        <f t="shared" si="18"/>
        <v>1.6495819566802274</v>
      </c>
      <c r="Y14" s="58">
        <f t="shared" si="0"/>
        <v>1.2938768540605374</v>
      </c>
      <c r="Z14" s="58">
        <f t="shared" si="1"/>
        <v>0.98518998525864454</v>
      </c>
      <c r="AA14" s="58">
        <f t="shared" si="2"/>
        <v>1.0389283397542375</v>
      </c>
      <c r="AB14" s="58">
        <f t="shared" si="3"/>
        <v>1.0521653935854847</v>
      </c>
      <c r="AC14" s="58">
        <f t="shared" si="4"/>
        <v>0.94118848230230623</v>
      </c>
      <c r="AD14" s="58">
        <f t="shared" si="5"/>
        <v>0.96229291466693523</v>
      </c>
      <c r="AE14" s="58">
        <f t="shared" si="6"/>
        <v>1.3206675966296806</v>
      </c>
      <c r="AF14" s="58"/>
      <c r="AG14" s="58" t="str">
        <f t="shared" si="8"/>
        <v/>
      </c>
      <c r="AH14" s="58" t="str">
        <f t="shared" si="9"/>
        <v/>
      </c>
      <c r="AI14" s="58" t="str">
        <f t="shared" si="10"/>
        <v/>
      </c>
      <c r="AJ14" s="58" t="str">
        <f t="shared" si="11"/>
        <v/>
      </c>
      <c r="AK14" s="58" t="str">
        <f t="shared" si="12"/>
        <v/>
      </c>
      <c r="AL14" s="58" t="str">
        <f t="shared" si="13"/>
        <v/>
      </c>
      <c r="AM14" s="58" t="str">
        <f t="shared" si="14"/>
        <v/>
      </c>
      <c r="AN14" s="58" t="str">
        <f t="shared" si="15"/>
        <v/>
      </c>
      <c r="AO14" s="58" t="str">
        <f t="shared" si="16"/>
        <v/>
      </c>
      <c r="AP14" s="58" t="str">
        <f t="shared" si="17"/>
        <v/>
      </c>
    </row>
    <row r="15" spans="1:42" x14ac:dyDescent="0.25">
      <c r="A15" t="s">
        <v>19</v>
      </c>
      <c r="B15" s="3">
        <v>1607.706719</v>
      </c>
      <c r="C15" s="3">
        <v>4000.340565</v>
      </c>
      <c r="D15" s="3">
        <v>4989.0850799999998</v>
      </c>
      <c r="E15" s="3">
        <v>4800.1831439999996</v>
      </c>
      <c r="F15" s="3">
        <v>4794.5331759999999</v>
      </c>
      <c r="G15" s="3">
        <v>5481.6437669999996</v>
      </c>
      <c r="H15" s="3">
        <v>4777.9785350000002</v>
      </c>
      <c r="I15" s="3">
        <v>4847.1499620000004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W15" t="s">
        <v>19</v>
      </c>
      <c r="X15" s="58">
        <f t="shared" si="18"/>
        <v>2.48822780779832</v>
      </c>
      <c r="Y15" s="58">
        <f t="shared" si="0"/>
        <v>1.2471650848057232</v>
      </c>
      <c r="Z15" s="58">
        <f t="shared" si="1"/>
        <v>0.96213695838596514</v>
      </c>
      <c r="AA15" s="58">
        <f t="shared" si="2"/>
        <v>0.99882296824298011</v>
      </c>
      <c r="AB15" s="58">
        <f t="shared" si="3"/>
        <v>1.1433112600908615</v>
      </c>
      <c r="AC15" s="58">
        <f t="shared" si="4"/>
        <v>0.87163244057628686</v>
      </c>
      <c r="AD15" s="58">
        <f t="shared" si="5"/>
        <v>1.0144771322209383</v>
      </c>
      <c r="AE15" s="58"/>
      <c r="AF15" s="58" t="str">
        <f t="shared" si="7"/>
        <v/>
      </c>
      <c r="AG15" s="58" t="str">
        <f t="shared" si="8"/>
        <v/>
      </c>
      <c r="AH15" s="58" t="str">
        <f t="shared" si="9"/>
        <v/>
      </c>
      <c r="AI15" s="58" t="str">
        <f t="shared" si="10"/>
        <v/>
      </c>
      <c r="AJ15" s="58" t="str">
        <f t="shared" si="11"/>
        <v/>
      </c>
      <c r="AK15" s="58" t="str">
        <f t="shared" si="12"/>
        <v/>
      </c>
      <c r="AL15" s="58" t="str">
        <f t="shared" si="13"/>
        <v/>
      </c>
      <c r="AM15" s="58" t="str">
        <f t="shared" si="14"/>
        <v/>
      </c>
      <c r="AN15" s="58" t="str">
        <f t="shared" si="15"/>
        <v/>
      </c>
      <c r="AO15" s="58" t="str">
        <f t="shared" si="16"/>
        <v/>
      </c>
      <c r="AP15" s="58" t="str">
        <f t="shared" si="17"/>
        <v/>
      </c>
    </row>
    <row r="16" spans="1:42" x14ac:dyDescent="0.25">
      <c r="A16" t="s">
        <v>20</v>
      </c>
      <c r="B16" s="3">
        <v>3120.317258</v>
      </c>
      <c r="C16" s="3">
        <v>3906.2209229999999</v>
      </c>
      <c r="D16" s="3">
        <v>7001.9387280000001</v>
      </c>
      <c r="E16" s="3">
        <v>9182.1756050000004</v>
      </c>
      <c r="F16" s="3">
        <v>9679.8029879999995</v>
      </c>
      <c r="G16" s="3">
        <v>7915.8269710000004</v>
      </c>
      <c r="H16" s="3">
        <v>10125.441360000001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W16" t="s">
        <v>20</v>
      </c>
      <c r="X16" s="58">
        <f t="shared" si="18"/>
        <v>1.2518665892018086</v>
      </c>
      <c r="Y16" s="58">
        <f t="shared" si="0"/>
        <v>1.7925096572936463</v>
      </c>
      <c r="Z16" s="58">
        <f t="shared" si="1"/>
        <v>1.3113761718995722</v>
      </c>
      <c r="AA16" s="58">
        <f t="shared" si="2"/>
        <v>1.0541949320517268</v>
      </c>
      <c r="AB16" s="58">
        <f t="shared" si="3"/>
        <v>0.81776736373800263</v>
      </c>
      <c r="AC16" s="58">
        <f t="shared" si="4"/>
        <v>1.2791387933433898</v>
      </c>
      <c r="AD16" s="58"/>
      <c r="AE16" s="58" t="str">
        <f t="shared" si="6"/>
        <v/>
      </c>
      <c r="AF16" s="58" t="str">
        <f t="shared" si="7"/>
        <v/>
      </c>
      <c r="AG16" s="58" t="str">
        <f t="shared" si="8"/>
        <v/>
      </c>
      <c r="AH16" s="58" t="str">
        <f t="shared" si="9"/>
        <v/>
      </c>
      <c r="AI16" s="58" t="str">
        <f t="shared" si="10"/>
        <v/>
      </c>
      <c r="AJ16" s="58" t="str">
        <f t="shared" si="11"/>
        <v/>
      </c>
      <c r="AK16" s="58" t="str">
        <f t="shared" si="12"/>
        <v/>
      </c>
      <c r="AL16" s="58" t="str">
        <f t="shared" si="13"/>
        <v/>
      </c>
      <c r="AM16" s="58" t="str">
        <f t="shared" si="14"/>
        <v/>
      </c>
      <c r="AN16" s="58" t="str">
        <f t="shared" si="15"/>
        <v/>
      </c>
      <c r="AO16" s="58" t="str">
        <f t="shared" si="16"/>
        <v/>
      </c>
      <c r="AP16" s="58" t="str">
        <f t="shared" si="17"/>
        <v/>
      </c>
    </row>
    <row r="17" spans="1:45" x14ac:dyDescent="0.25">
      <c r="A17" t="s">
        <v>21</v>
      </c>
      <c r="B17" s="3">
        <v>1186.749178</v>
      </c>
      <c r="C17" s="3">
        <v>1948.7160409999999</v>
      </c>
      <c r="D17" s="3">
        <v>3061.9691250000001</v>
      </c>
      <c r="E17" s="3">
        <v>4515.3247449999999</v>
      </c>
      <c r="F17" s="3">
        <v>4628.4054960000003</v>
      </c>
      <c r="G17" s="3">
        <v>4755.1345259999998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W17" t="s">
        <v>21</v>
      </c>
      <c r="X17" s="58">
        <f t="shared" si="18"/>
        <v>1.6420622631347632</v>
      </c>
      <c r="Y17" s="58">
        <f t="shared" si="0"/>
        <v>1.5712751681505763</v>
      </c>
      <c r="Z17" s="58">
        <f t="shared" si="1"/>
        <v>1.4746473790783243</v>
      </c>
      <c r="AA17" s="58">
        <f t="shared" si="2"/>
        <v>1.0250437692494254</v>
      </c>
      <c r="AB17" s="58">
        <f t="shared" si="3"/>
        <v>1.0273807102920265</v>
      </c>
      <c r="AC17" s="58"/>
      <c r="AD17" s="58" t="str">
        <f t="shared" si="5"/>
        <v/>
      </c>
      <c r="AE17" s="58" t="str">
        <f t="shared" si="6"/>
        <v/>
      </c>
      <c r="AF17" s="58" t="str">
        <f t="shared" si="7"/>
        <v/>
      </c>
      <c r="AG17" s="58" t="str">
        <f t="shared" si="8"/>
        <v/>
      </c>
      <c r="AH17" s="58" t="str">
        <f t="shared" si="9"/>
        <v/>
      </c>
      <c r="AI17" s="58" t="str">
        <f t="shared" si="10"/>
        <v/>
      </c>
      <c r="AJ17" s="58" t="str">
        <f t="shared" si="11"/>
        <v/>
      </c>
      <c r="AK17" s="58" t="str">
        <f t="shared" si="12"/>
        <v/>
      </c>
      <c r="AL17" s="58" t="str">
        <f t="shared" si="13"/>
        <v/>
      </c>
      <c r="AM17" s="58" t="str">
        <f t="shared" si="14"/>
        <v/>
      </c>
      <c r="AN17" s="58" t="str">
        <f t="shared" si="15"/>
        <v/>
      </c>
      <c r="AO17" s="58" t="str">
        <f t="shared" si="16"/>
        <v/>
      </c>
      <c r="AP17" s="58" t="str">
        <f t="shared" si="17"/>
        <v/>
      </c>
    </row>
    <row r="18" spans="1:45" x14ac:dyDescent="0.25">
      <c r="A18" t="s">
        <v>22</v>
      </c>
      <c r="B18" s="3">
        <v>508.12516470000003</v>
      </c>
      <c r="C18" s="3">
        <v>1844.156745</v>
      </c>
      <c r="D18" s="3">
        <v>4444.6536349999997</v>
      </c>
      <c r="E18" s="3">
        <v>6455.914597</v>
      </c>
      <c r="F18" s="3">
        <v>7419.1993769999999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W18" t="s">
        <v>22</v>
      </c>
      <c r="X18" s="58">
        <f t="shared" si="18"/>
        <v>3.6293355911408178</v>
      </c>
      <c r="Y18" s="58">
        <f t="shared" si="0"/>
        <v>2.4101279064540688</v>
      </c>
      <c r="Z18" s="58">
        <f t="shared" si="1"/>
        <v>1.45251241765209</v>
      </c>
      <c r="AA18" s="58">
        <f t="shared" si="2"/>
        <v>1.1492096534931904</v>
      </c>
      <c r="AB18" s="58"/>
      <c r="AC18" s="58" t="str">
        <f t="shared" si="4"/>
        <v/>
      </c>
      <c r="AD18" s="58" t="str">
        <f t="shared" si="5"/>
        <v/>
      </c>
      <c r="AE18" s="58" t="str">
        <f t="shared" si="6"/>
        <v/>
      </c>
      <c r="AF18" s="58" t="str">
        <f t="shared" si="7"/>
        <v/>
      </c>
      <c r="AG18" s="58" t="str">
        <f t="shared" si="8"/>
        <v/>
      </c>
      <c r="AH18" s="58" t="str">
        <f t="shared" si="9"/>
        <v/>
      </c>
      <c r="AI18" s="58" t="str">
        <f t="shared" si="10"/>
        <v/>
      </c>
      <c r="AJ18" s="58" t="str">
        <f t="shared" si="11"/>
        <v/>
      </c>
      <c r="AK18" s="58" t="str">
        <f t="shared" si="12"/>
        <v/>
      </c>
      <c r="AL18" s="58" t="str">
        <f t="shared" si="13"/>
        <v/>
      </c>
      <c r="AM18" s="58" t="str">
        <f t="shared" si="14"/>
        <v/>
      </c>
      <c r="AN18" s="58" t="str">
        <f t="shared" si="15"/>
        <v/>
      </c>
      <c r="AO18" s="58" t="str">
        <f t="shared" si="16"/>
        <v/>
      </c>
      <c r="AP18" s="58" t="str">
        <f t="shared" si="17"/>
        <v/>
      </c>
    </row>
    <row r="19" spans="1:45" x14ac:dyDescent="0.25">
      <c r="A19" t="s">
        <v>23</v>
      </c>
      <c r="B19" s="3">
        <v>631.91295530000002</v>
      </c>
      <c r="C19" s="3">
        <v>1950.552862</v>
      </c>
      <c r="D19" s="3">
        <v>2235.3182579999998</v>
      </c>
      <c r="E19" s="3">
        <v>4024.5331259999998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W19" t="s">
        <v>23</v>
      </c>
      <c r="X19" s="58">
        <f t="shared" si="18"/>
        <v>3.0867429535037418</v>
      </c>
      <c r="Y19" s="58">
        <f t="shared" si="0"/>
        <v>1.1459921448670791</v>
      </c>
      <c r="Z19" s="58">
        <f t="shared" si="1"/>
        <v>1.8004295860764181</v>
      </c>
      <c r="AA19" s="58"/>
      <c r="AB19" s="58" t="str">
        <f t="shared" si="3"/>
        <v/>
      </c>
      <c r="AC19" s="58" t="str">
        <f t="shared" si="4"/>
        <v/>
      </c>
      <c r="AD19" s="58" t="str">
        <f t="shared" si="5"/>
        <v/>
      </c>
      <c r="AE19" s="58" t="str">
        <f t="shared" si="6"/>
        <v/>
      </c>
      <c r="AF19" s="58" t="str">
        <f t="shared" si="7"/>
        <v/>
      </c>
      <c r="AG19" s="58" t="str">
        <f t="shared" si="8"/>
        <v/>
      </c>
      <c r="AH19" s="58" t="str">
        <f t="shared" si="9"/>
        <v/>
      </c>
      <c r="AI19" s="58" t="str">
        <f t="shared" si="10"/>
        <v/>
      </c>
      <c r="AJ19" s="58" t="str">
        <f t="shared" si="11"/>
        <v/>
      </c>
      <c r="AK19" s="58" t="str">
        <f t="shared" si="12"/>
        <v/>
      </c>
      <c r="AL19" s="58" t="str">
        <f t="shared" si="13"/>
        <v/>
      </c>
      <c r="AM19" s="58" t="str">
        <f t="shared" si="14"/>
        <v/>
      </c>
      <c r="AN19" s="58" t="str">
        <f t="shared" si="15"/>
        <v/>
      </c>
      <c r="AO19" s="58" t="str">
        <f t="shared" si="16"/>
        <v/>
      </c>
      <c r="AP19" s="58" t="str">
        <f t="shared" si="17"/>
        <v/>
      </c>
    </row>
    <row r="20" spans="1:45" x14ac:dyDescent="0.25">
      <c r="A20" t="s">
        <v>24</v>
      </c>
      <c r="B20" s="3">
        <v>575.90153769999995</v>
      </c>
      <c r="C20" s="3">
        <v>3531.0095270000002</v>
      </c>
      <c r="D20" s="3">
        <v>8147.7663220000004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W20" t="s">
        <v>24</v>
      </c>
      <c r="X20" s="58">
        <f t="shared" si="18"/>
        <v>6.1312729622183824</v>
      </c>
      <c r="Y20" s="58">
        <f t="shared" si="0"/>
        <v>2.3074891924526941</v>
      </c>
      <c r="Z20" s="58"/>
      <c r="AA20" s="58" t="str">
        <f t="shared" si="2"/>
        <v/>
      </c>
      <c r="AB20" s="58" t="str">
        <f t="shared" si="3"/>
        <v/>
      </c>
      <c r="AC20" s="58" t="str">
        <f t="shared" si="4"/>
        <v/>
      </c>
      <c r="AD20" s="58" t="str">
        <f t="shared" si="5"/>
        <v/>
      </c>
      <c r="AE20" s="58" t="str">
        <f t="shared" si="6"/>
        <v/>
      </c>
      <c r="AF20" s="58" t="str">
        <f t="shared" si="7"/>
        <v/>
      </c>
      <c r="AG20" s="58" t="str">
        <f t="shared" si="8"/>
        <v/>
      </c>
      <c r="AH20" s="58" t="str">
        <f t="shared" si="9"/>
        <v/>
      </c>
      <c r="AI20" s="58" t="str">
        <f t="shared" si="10"/>
        <v/>
      </c>
      <c r="AJ20" s="58" t="str">
        <f t="shared" si="11"/>
        <v/>
      </c>
      <c r="AK20" s="58" t="str">
        <f t="shared" si="12"/>
        <v/>
      </c>
      <c r="AL20" s="58" t="str">
        <f t="shared" si="13"/>
        <v/>
      </c>
      <c r="AM20" s="58" t="str">
        <f t="shared" si="14"/>
        <v/>
      </c>
      <c r="AN20" s="58" t="str">
        <f t="shared" si="15"/>
        <v/>
      </c>
      <c r="AO20" s="58" t="str">
        <f t="shared" si="16"/>
        <v/>
      </c>
      <c r="AP20" s="58" t="str">
        <f t="shared" si="17"/>
        <v/>
      </c>
    </row>
    <row r="21" spans="1:45" x14ac:dyDescent="0.25">
      <c r="A21" t="s">
        <v>25</v>
      </c>
      <c r="B21" s="3">
        <v>1548.602932</v>
      </c>
      <c r="C21" s="3">
        <v>4806.7515240000002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W21" t="s">
        <v>25</v>
      </c>
      <c r="X21" s="58">
        <f t="shared" si="18"/>
        <v>3.1039276916466538</v>
      </c>
      <c r="Y21" s="58"/>
      <c r="Z21" s="58" t="str">
        <f t="shared" si="1"/>
        <v/>
      </c>
      <c r="AA21" s="58" t="str">
        <f t="shared" si="2"/>
        <v/>
      </c>
      <c r="AB21" s="58" t="str">
        <f t="shared" si="3"/>
        <v/>
      </c>
      <c r="AC21" s="58" t="str">
        <f t="shared" si="4"/>
        <v/>
      </c>
      <c r="AD21" s="58" t="str">
        <f t="shared" si="5"/>
        <v/>
      </c>
      <c r="AE21" s="58" t="str">
        <f t="shared" si="6"/>
        <v/>
      </c>
      <c r="AF21" s="58" t="str">
        <f t="shared" si="7"/>
        <v/>
      </c>
      <c r="AG21" s="58" t="str">
        <f t="shared" si="8"/>
        <v/>
      </c>
      <c r="AH21" s="58" t="str">
        <f t="shared" si="9"/>
        <v/>
      </c>
      <c r="AI21" s="58" t="str">
        <f t="shared" si="10"/>
        <v/>
      </c>
      <c r="AJ21" s="58" t="str">
        <f t="shared" si="11"/>
        <v/>
      </c>
      <c r="AK21" s="58" t="str">
        <f t="shared" si="12"/>
        <v/>
      </c>
      <c r="AL21" s="58" t="str">
        <f t="shared" si="13"/>
        <v/>
      </c>
      <c r="AM21" s="58" t="str">
        <f t="shared" si="14"/>
        <v/>
      </c>
      <c r="AN21" s="58" t="str">
        <f t="shared" si="15"/>
        <v/>
      </c>
      <c r="AO21" s="58" t="str">
        <f t="shared" si="16"/>
        <v/>
      </c>
      <c r="AP21" s="58" t="str">
        <f t="shared" si="17"/>
        <v/>
      </c>
    </row>
    <row r="22" spans="1:45" x14ac:dyDescent="0.25">
      <c r="A22" t="s">
        <v>26</v>
      </c>
      <c r="B22" s="3">
        <v>1877.010266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5" x14ac:dyDescent="0.25">
      <c r="W23" s="5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</row>
    <row r="24" spans="1:45" x14ac:dyDescent="0.25">
      <c r="B24" s="6">
        <v>1</v>
      </c>
      <c r="C24" s="6">
        <f>B24+1</f>
        <v>2</v>
      </c>
      <c r="D24" s="6">
        <f t="shared" ref="D24:Q24" si="19">C24+1</f>
        <v>3</v>
      </c>
      <c r="E24" s="6">
        <f t="shared" si="19"/>
        <v>4</v>
      </c>
      <c r="F24" s="6">
        <f t="shared" si="19"/>
        <v>5</v>
      </c>
      <c r="G24" s="6">
        <f t="shared" si="19"/>
        <v>6</v>
      </c>
      <c r="H24" s="6">
        <f t="shared" si="19"/>
        <v>7</v>
      </c>
      <c r="I24" s="6">
        <f t="shared" si="19"/>
        <v>8</v>
      </c>
      <c r="J24" s="6">
        <f t="shared" si="19"/>
        <v>9</v>
      </c>
      <c r="K24" s="6">
        <f t="shared" si="19"/>
        <v>10</v>
      </c>
      <c r="L24" s="6">
        <f t="shared" si="19"/>
        <v>11</v>
      </c>
      <c r="M24" s="6">
        <f t="shared" si="19"/>
        <v>12</v>
      </c>
      <c r="N24" s="6">
        <f t="shared" si="19"/>
        <v>13</v>
      </c>
      <c r="O24" s="6">
        <f t="shared" si="19"/>
        <v>14</v>
      </c>
      <c r="P24" s="6">
        <f t="shared" si="19"/>
        <v>15</v>
      </c>
      <c r="Q24" s="6">
        <f t="shared" si="19"/>
        <v>16</v>
      </c>
      <c r="R24" s="6">
        <f>Q24+1</f>
        <v>17</v>
      </c>
      <c r="S24" s="6">
        <f t="shared" ref="S24:T24" si="20">R24+1</f>
        <v>18</v>
      </c>
      <c r="T24" s="6">
        <f t="shared" si="20"/>
        <v>19</v>
      </c>
      <c r="U24" s="6">
        <v>20</v>
      </c>
      <c r="W24" s="5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10"/>
    </row>
    <row r="25" spans="1:45" x14ac:dyDescent="0.25">
      <c r="A25" s="5" t="s">
        <v>28</v>
      </c>
      <c r="B25" s="7">
        <f t="array" ref="B25">SUM(IF(C3:C22&gt;0,C3:C22))</f>
        <v>79994.081434000007</v>
      </c>
      <c r="C25" s="7">
        <f t="array" ref="C25">SUM(IF(D3:D22&gt;0,D3:D22))</f>
        <v>97874.732548999993</v>
      </c>
      <c r="D25" s="7">
        <f t="array" ref="D25">SUM(IF(E3:E22&gt;0,E3:E22))</f>
        <v>94934.400504999998</v>
      </c>
      <c r="E25" s="7">
        <f t="array" ref="E25">SUM(IF(F3:F22&gt;0,F3:F22))</f>
        <v>94754.403665999998</v>
      </c>
      <c r="F25" s="7">
        <f t="array" ref="F25">SUM(IF(G3:G22&gt;0,G3:G22))</f>
        <v>89536.924996999995</v>
      </c>
      <c r="G25" s="7">
        <f t="array" ref="G25">SUM(IF(H3:H22&gt;0,H3:H22))</f>
        <v>85221.430109999987</v>
      </c>
      <c r="H25" s="7">
        <f t="array" ref="H25">SUM(IF(I3:I22&gt;0,I3:I22))</f>
        <v>76284.446867999999</v>
      </c>
      <c r="I25" s="7">
        <f t="array" ref="I25">SUM(IF(J3:J22&gt;0,J3:J22))</f>
        <v>73602.176562999986</v>
      </c>
      <c r="J25" s="7">
        <f t="array" ref="J25">SUM(IF(K3:K22&gt;0,K3:K22))</f>
        <v>67999.790873999998</v>
      </c>
      <c r="K25" s="7">
        <f t="array" ref="K25">SUM(IF(L3:L22&gt;0,L3:L22))</f>
        <v>63084.341393999995</v>
      </c>
      <c r="L25" s="7">
        <f t="array" ref="L25">SUM(IF(M3:M22&gt;0,M3:M22))</f>
        <v>60219.226011999992</v>
      </c>
      <c r="M25" s="7">
        <f t="array" ref="M25">SUM(IF(N3:N22&gt;0,N3:N22))</f>
        <v>61094.250375000003</v>
      </c>
      <c r="N25" s="7">
        <f t="array" ref="N25">SUM(IF(O3:O22&gt;0,O3:O22))</f>
        <v>51502.219535000004</v>
      </c>
      <c r="O25" s="7">
        <f t="array" ref="O25">SUM(IF(P3:P22&gt;0,P3:P22))</f>
        <v>43266.088168000002</v>
      </c>
      <c r="P25" s="7">
        <f t="array" ref="P25">SUM(IF(Q3:Q22&gt;0,Q3:Q22))</f>
        <v>36559.703254</v>
      </c>
      <c r="Q25" s="7">
        <f t="array" ref="Q25">SUM(IF(R3:R22&gt;0,R3:R22))</f>
        <v>29041.071403000002</v>
      </c>
      <c r="R25" s="7">
        <f t="array" ref="R25">SUM(IF(S3:S22&gt;0,S3:S22))</f>
        <v>23020.762415000001</v>
      </c>
      <c r="S25" s="7">
        <f t="array" ref="S25">SUM(IF(T3:T22&gt;0,T3:T22))</f>
        <v>15155.134136000001</v>
      </c>
      <c r="T25" s="7">
        <f t="array" ref="T25">SUM(IF(U3:U22&gt;0,U3:U22))</f>
        <v>9349.6867120000006</v>
      </c>
    </row>
    <row r="26" spans="1:45" x14ac:dyDescent="0.25">
      <c r="A26" s="5" t="s">
        <v>29</v>
      </c>
      <c r="B26" s="7">
        <f t="array" ref="B26">SUM(IF(C3:C22&gt;0,B3:B22))</f>
        <v>44031.693797000014</v>
      </c>
      <c r="C26" s="7">
        <f t="array" ref="C26">SUM(IF(D3:D22&gt;0,C3:C22))</f>
        <v>75187.32991</v>
      </c>
      <c r="D26" s="7">
        <f t="array" ref="D26">SUM(IF(E3:E22&gt;0,D3:D22))</f>
        <v>89726.966226999997</v>
      </c>
      <c r="E26" s="7">
        <f t="array" ref="E26">SUM(IF(F3:F22&gt;0,E3:E22))</f>
        <v>90909.867379000003</v>
      </c>
      <c r="F26" s="7">
        <f t="array" ref="F26">SUM(IF(G3:G22&gt;0,F3:F22))</f>
        <v>87335.204289000001</v>
      </c>
      <c r="G26" s="7">
        <f t="array" ref="G26">SUM(IF(H3:H22&gt;0,G3:G22))</f>
        <v>84781.790471</v>
      </c>
      <c r="H26" s="7">
        <f t="array" ref="H26">SUM(IF(I3:I22&gt;0,H3:H22))</f>
        <v>75095.98874999999</v>
      </c>
      <c r="I26" s="7">
        <f t="array" ref="I26">SUM(IF(J3:J22&gt;0,I3:I22))</f>
        <v>71437.296906000003</v>
      </c>
      <c r="J26" s="7">
        <f t="array" ref="J26">SUM(IF(K3:K22&gt;0,J3:J22))</f>
        <v>68494.790904999987</v>
      </c>
      <c r="K26" s="7">
        <f t="array" ref="K26">SUM(IF(L3:L22&gt;0,K3:K22))</f>
        <v>61174.082340999994</v>
      </c>
      <c r="L26" s="7">
        <f t="array" ref="L26">SUM(IF(M3:M22&gt;0,L3:L22))</f>
        <v>58483.674220999994</v>
      </c>
      <c r="M26" s="7">
        <f t="array" ref="M26">SUM(IF(N3:N22&gt;0,M3:M22))</f>
        <v>58136.422031999995</v>
      </c>
      <c r="N26" s="7">
        <f t="array" ref="N26">SUM(IF(O3:O22&gt;0,N3:N22))</f>
        <v>52450.135469000001</v>
      </c>
      <c r="O26" s="7">
        <f t="array" ref="O26">SUM(IF(P3:P22&gt;0,O3:O22))</f>
        <v>43998.596141000002</v>
      </c>
      <c r="P26" s="7">
        <f t="array" ref="P26">SUM(IF(Q3:Q22&gt;0,P3:P22))</f>
        <v>36284.865990999999</v>
      </c>
      <c r="Q26" s="7">
        <f t="array" ref="Q26">SUM(IF(R3:R22&gt;0,Q3:Q22))</f>
        <v>28051.652613000002</v>
      </c>
      <c r="R26" s="7">
        <f t="array" ref="R26">SUM(IF(S3:S22&gt;0,R3:R22))</f>
        <v>22990.385114000001</v>
      </c>
      <c r="S26" s="7">
        <f t="array" ref="S26">SUM(IF(T3:T22&gt;0,S3:S22))</f>
        <v>15199.880493000001</v>
      </c>
      <c r="T26" s="7">
        <f t="array" ref="T26">SUM(IF(U3:U22&gt;0,T3:T22))</f>
        <v>9388.4575879999993</v>
      </c>
    </row>
    <row r="27" spans="1:45" x14ac:dyDescent="0.25">
      <c r="A27" s="5" t="s">
        <v>30</v>
      </c>
      <c r="B27" s="8">
        <f>B25/B26</f>
        <v>1.8167386837944035</v>
      </c>
      <c r="C27" s="8">
        <f t="shared" ref="C27:R27" si="21">C25/C26</f>
        <v>1.3017450236117847</v>
      </c>
      <c r="D27" s="8">
        <f t="shared" si="21"/>
        <v>1.0580364465329823</v>
      </c>
      <c r="E27" s="8">
        <f t="shared" si="21"/>
        <v>1.0422895379549093</v>
      </c>
      <c r="F27" s="8">
        <f t="shared" si="21"/>
        <v>1.0252100023801891</v>
      </c>
      <c r="G27" s="8">
        <f t="shared" si="21"/>
        <v>1.0051855432228736</v>
      </c>
      <c r="H27" s="8">
        <f t="shared" si="21"/>
        <v>1.0158258535213709</v>
      </c>
      <c r="I27" s="8">
        <f t="shared" si="21"/>
        <v>1.0303046132869307</v>
      </c>
      <c r="J27" s="8">
        <f t="shared" si="21"/>
        <v>0.99277317260977505</v>
      </c>
      <c r="K27" s="8">
        <f t="shared" si="21"/>
        <v>1.0312266074111538</v>
      </c>
      <c r="L27" s="8">
        <f t="shared" si="21"/>
        <v>1.0296758337111591</v>
      </c>
      <c r="M27" s="8">
        <f t="shared" si="21"/>
        <v>1.0508773715274726</v>
      </c>
      <c r="N27" s="8">
        <f t="shared" si="21"/>
        <v>0.98192729293215553</v>
      </c>
      <c r="O27" s="8">
        <f t="shared" si="21"/>
        <v>0.98335156033950333</v>
      </c>
      <c r="P27" s="8">
        <f t="shared" si="21"/>
        <v>1.007574432356128</v>
      </c>
      <c r="Q27" s="8">
        <f t="shared" si="21"/>
        <v>1.0352713190787723</v>
      </c>
      <c r="R27" s="8">
        <f t="shared" si="21"/>
        <v>1.001321304573602</v>
      </c>
      <c r="S27" s="8">
        <f>S25/S26</f>
        <v>0.99705613757814693</v>
      </c>
      <c r="T27" s="8">
        <f t="shared" ref="T27" si="22">T25/T26</f>
        <v>0.99587036788134886</v>
      </c>
    </row>
    <row r="28" spans="1:45" x14ac:dyDescent="0.25">
      <c r="A28" s="5" t="s">
        <v>31</v>
      </c>
      <c r="B28" s="9">
        <f>1/PRODUCT(B27:$T$27)</f>
        <v>0.32046203297110881</v>
      </c>
      <c r="C28" s="9">
        <f>1/PRODUCT(C27:$T$27)</f>
        <v>0.5821957719860108</v>
      </c>
      <c r="D28" s="9">
        <f>1/PRODUCT(D27:$T$27)</f>
        <v>0.75787044895061118</v>
      </c>
      <c r="E28" s="9">
        <f>1/PRODUCT(E27:$T$27)</f>
        <v>0.80185455674006056</v>
      </c>
      <c r="F28" s="9">
        <f>1/PRODUCT(F27:$T$27)</f>
        <v>0.83576461545163616</v>
      </c>
      <c r="G28" s="9">
        <f>1/PRODUCT(G27:$T$27)</f>
        <v>0.85683424339644976</v>
      </c>
      <c r="H28" s="9">
        <f>1/PRODUCT(H27:$T$27)</f>
        <v>0.86127739440042028</v>
      </c>
      <c r="I28" s="9">
        <f>1/PRODUCT(I27:$T$27)</f>
        <v>0.87490784428546942</v>
      </c>
      <c r="J28" s="9">
        <f>1/PRODUCT(J27:$T$27)</f>
        <v>0.90142158816824269</v>
      </c>
      <c r="K28" s="9">
        <f>1/PRODUCT(K27:$T$27)</f>
        <v>0.8949071699447283</v>
      </c>
      <c r="L28" s="9">
        <f>1/PRODUCT(L27:$T$27)</f>
        <v>0.92285208481001901</v>
      </c>
      <c r="M28" s="9">
        <f>1/PRODUCT(M27:$T$27)</f>
        <v>0.95023848981883741</v>
      </c>
      <c r="N28" s="9">
        <f>1/PRODUCT(N27:$T$27)</f>
        <v>0.99858412650505535</v>
      </c>
      <c r="O28" s="9">
        <f>1/PRODUCT(O27:$T$27)</f>
        <v>0.98053700810412991</v>
      </c>
      <c r="P28" s="9">
        <f>1/PRODUCT(P27:$T$27)</f>
        <v>0.96421259688982441</v>
      </c>
      <c r="Q28" s="9">
        <f>1/PRODUCT(Q27:$T$27)</f>
        <v>0.97151595998189288</v>
      </c>
      <c r="R28" s="9">
        <f>1/PRODUCT(R27:$T$27)</f>
        <v>1.0057826093965341</v>
      </c>
      <c r="S28" s="9">
        <f>1/PRODUCT(S27:$T$27)</f>
        <v>1.0071115545583791</v>
      </c>
      <c r="T28" s="9">
        <f>1/PRODUCT(T27:$T$27)</f>
        <v>1.0041467566983007</v>
      </c>
      <c r="U28" s="10">
        <v>1</v>
      </c>
    </row>
    <row r="30" spans="1:45" ht="15.75" thickBot="1" x14ac:dyDescent="0.3">
      <c r="A30" s="15" t="s">
        <v>6</v>
      </c>
      <c r="B30" s="16" t="s">
        <v>5</v>
      </c>
      <c r="C30" s="16" t="s">
        <v>33</v>
      </c>
      <c r="D30" s="16" t="s">
        <v>32</v>
      </c>
      <c r="E30" s="16" t="s">
        <v>31</v>
      </c>
      <c r="F30" s="16" t="s">
        <v>34</v>
      </c>
      <c r="G30" s="16" t="s">
        <v>35</v>
      </c>
      <c r="H30" s="16" t="s">
        <v>36</v>
      </c>
      <c r="I30" s="16" t="s">
        <v>37</v>
      </c>
      <c r="J30" s="16" t="s">
        <v>39</v>
      </c>
      <c r="K30" s="16" t="s">
        <v>40</v>
      </c>
      <c r="L30" s="18" t="s">
        <v>41</v>
      </c>
      <c r="AR30" t="s">
        <v>68</v>
      </c>
      <c r="AS30" t="s">
        <v>69</v>
      </c>
    </row>
    <row r="31" spans="1:45" ht="15.75" thickBot="1" x14ac:dyDescent="0.3">
      <c r="A31" s="11">
        <v>1</v>
      </c>
      <c r="B31" s="12" t="s">
        <v>7</v>
      </c>
      <c r="C31" s="17">
        <v>25728.2402</v>
      </c>
      <c r="D31" s="13">
        <f ca="1">OFFSET($U$3,(ROWS($U$4:U4)-1),-(ROWS($U$4:U4)-1),1,1)</f>
        <v>9349.6867120000006</v>
      </c>
      <c r="E31" s="14">
        <f ca="1">OFFSET($U$28,0,-(ROWS($I$30:I30)-1),1,1)</f>
        <v>1</v>
      </c>
      <c r="F31" s="17">
        <f ca="1">D31/E31-D31</f>
        <v>0</v>
      </c>
      <c r="G31" s="17">
        <f ca="1">F31+D31</f>
        <v>9349.6867120000006</v>
      </c>
      <c r="H31" s="14">
        <f ca="1">G31/C31</f>
        <v>0.36340171886299477</v>
      </c>
      <c r="I31" s="14">
        <f t="array" aca="1" ref="I31" ca="1">SUM($D$31:$D$50*$O$31^ABS(A31-$A$31:$A$50))/SUM($C$31:$C$50*$E$31:$E$50*$O$31^ABS(A31-$A$31:$A$50))</f>
        <v>0.37774276115336408</v>
      </c>
      <c r="J31" s="19">
        <f ca="1">(1-E31)*I31*C31</f>
        <v>0</v>
      </c>
      <c r="K31" s="13">
        <f ca="1">J31+D31</f>
        <v>9349.6867120000006</v>
      </c>
      <c r="L31" s="14">
        <f ca="1">K31/C31</f>
        <v>0.36340171886299477</v>
      </c>
      <c r="N31" s="25" t="s">
        <v>38</v>
      </c>
      <c r="O31" s="26">
        <v>0.98</v>
      </c>
      <c r="AR31" s="10">
        <f ca="1">I31</f>
        <v>0.37774276115336408</v>
      </c>
      <c r="AS31">
        <f t="array" ref="AS31:AS50">TRANSPOSE(V55:AO55)</f>
        <v>0.33566776677017346</v>
      </c>
    </row>
    <row r="32" spans="1:45" x14ac:dyDescent="0.25">
      <c r="A32" s="11">
        <f>A31+1</f>
        <v>2</v>
      </c>
      <c r="B32" s="12" t="s">
        <v>8</v>
      </c>
      <c r="C32" s="17">
        <v>25975.350200000001</v>
      </c>
      <c r="D32" s="13">
        <f ca="1">OFFSET($U$3,(ROWS($U$4:U5)-1),-(ROWS($U$4:U5)-1),1,1)</f>
        <v>5766.6765480000004</v>
      </c>
      <c r="E32" s="14">
        <f ca="1">OFFSET($U$28,0,-(ROWS($I$30:I31)-1),1,1)</f>
        <v>1.0041467566983007</v>
      </c>
      <c r="F32" s="17">
        <f t="shared" ref="F32:F50" ca="1" si="23">D32/E32-D32</f>
        <v>-23.814252690493049</v>
      </c>
      <c r="G32" s="17">
        <f t="shared" ref="G32:G50" ca="1" si="24">F32+D32</f>
        <v>5742.8622953095073</v>
      </c>
      <c r="H32" s="14">
        <f t="shared" ref="H32:H50" ca="1" si="25">G32/C32</f>
        <v>0.22108892665899485</v>
      </c>
      <c r="I32" s="14">
        <f t="array" aca="1" ref="I32" ca="1">SUM($D$31:$D$50*$O$31^ABS(A32-$A$31:$A$50))/SUM($C$31:$C$50*$E$31:$E$50*$O$31^ABS(A32-$A$31:$A$50))</f>
        <v>0.37779514016872484</v>
      </c>
      <c r="J32" s="19">
        <f t="shared" ref="J32:J50" ca="1" si="26">(1-E32)*I32*C32</f>
        <v>-40.69362074879033</v>
      </c>
      <c r="K32" s="13">
        <f t="shared" ref="K32:K50" ca="1" si="27">J32+D32</f>
        <v>5725.9829272512097</v>
      </c>
      <c r="L32" s="14">
        <f t="shared" ref="L32:L50" ca="1" si="28">K32/C32</f>
        <v>0.22043910411845802</v>
      </c>
      <c r="AR32" s="10">
        <f ca="1">I32</f>
        <v>0.37779514016872484</v>
      </c>
      <c r="AS32">
        <v>0.33268928786193347</v>
      </c>
    </row>
    <row r="33" spans="1:45" x14ac:dyDescent="0.25">
      <c r="A33" s="11">
        <f t="shared" ref="A33:A50" si="29">A32+1</f>
        <v>3</v>
      </c>
      <c r="B33" s="12" t="s">
        <v>9</v>
      </c>
      <c r="C33" s="17">
        <v>24954.4902</v>
      </c>
      <c r="D33" s="13">
        <f ca="1">OFFSET($U$3,(ROWS($U$4:U6)-1),-(ROWS($U$4:U6)-1),1,1)</f>
        <v>7820.8819219999996</v>
      </c>
      <c r="E33" s="14">
        <f ca="1">OFFSET($U$28,0,-(ROWS($I$30:I32)-1),1,1)</f>
        <v>1.0071115545583791</v>
      </c>
      <c r="F33" s="17">
        <f t="shared" ca="1" si="23"/>
        <v>-55.225886577512938</v>
      </c>
      <c r="G33" s="17">
        <f t="shared" ca="1" si="24"/>
        <v>7765.6560354224866</v>
      </c>
      <c r="H33" s="14">
        <f t="shared" ca="1" si="25"/>
        <v>0.31119273418066007</v>
      </c>
      <c r="I33" s="14">
        <f t="array" aca="1" ref="I33" ca="1">SUM($D$31:$D$50*$O$31^ABS(A33-$A$31:$A$50))/SUM($C$31:$C$50*$E$31:$E$50*$O$31^ABS(A33-$A$31:$A$50))</f>
        <v>0.37841871887310402</v>
      </c>
      <c r="J33" s="19">
        <f t="shared" ca="1" si="26"/>
        <v>-67.156160642109739</v>
      </c>
      <c r="K33" s="13">
        <f t="shared" ca="1" si="27"/>
        <v>7753.7257613578895</v>
      </c>
      <c r="L33" s="14">
        <f t="shared" ca="1" si="28"/>
        <v>0.310714652922779</v>
      </c>
      <c r="AR33" s="10">
        <f ca="1">I33</f>
        <v>0.37841871887310402</v>
      </c>
      <c r="AS33">
        <v>0.33980969816385376</v>
      </c>
    </row>
    <row r="34" spans="1:45" x14ac:dyDescent="0.25">
      <c r="A34" s="11">
        <f t="shared" si="29"/>
        <v>4</v>
      </c>
      <c r="B34" s="12" t="s">
        <v>10</v>
      </c>
      <c r="C34" s="17">
        <v>24478.190200000001</v>
      </c>
      <c r="D34" s="13">
        <f ca="1">OFFSET($U$3,(ROWS($U$4:U7)-1),-(ROWS($U$4:U7)-1),1,1)</f>
        <v>6050.6862890000002</v>
      </c>
      <c r="E34" s="14">
        <f ca="1">OFFSET($U$28,0,-(ROWS($I$30:I33)-1),1,1)</f>
        <v>1.0057826093965341</v>
      </c>
      <c r="F34" s="17">
        <f t="shared" ca="1" si="23"/>
        <v>-34.787592331949782</v>
      </c>
      <c r="G34" s="17">
        <f t="shared" ca="1" si="24"/>
        <v>6015.8986966680504</v>
      </c>
      <c r="H34" s="14">
        <f t="shared" ca="1" si="25"/>
        <v>0.24576566517029719</v>
      </c>
      <c r="I34" s="14">
        <f t="array" aca="1" ref="I34" ca="1">SUM($D$31:$D$50*$O$31^ABS(A34-$A$31:$A$50))/SUM($C$31:$C$50*$E$31:$E$50*$O$31^ABS(A34-$A$31:$A$50))</f>
        <v>0.37926264916332275</v>
      </c>
      <c r="J34" s="19">
        <f t="shared" ca="1" si="26"/>
        <v>-53.683798412958808</v>
      </c>
      <c r="K34" s="13">
        <f t="shared" ca="1" si="27"/>
        <v>5997.0024905870414</v>
      </c>
      <c r="L34" s="14">
        <f t="shared" ca="1" si="28"/>
        <v>0.24499370425625017</v>
      </c>
      <c r="AR34" s="10">
        <f ca="1">I34</f>
        <v>0.37926264916332275</v>
      </c>
      <c r="AS34">
        <v>0.34838186015796196</v>
      </c>
    </row>
    <row r="35" spans="1:45" x14ac:dyDescent="0.25">
      <c r="A35" s="11">
        <f t="shared" si="29"/>
        <v>5</v>
      </c>
      <c r="B35" s="12" t="s">
        <v>11</v>
      </c>
      <c r="C35" s="17">
        <v>23899.440200000001</v>
      </c>
      <c r="D35" s="13">
        <f ca="1">OFFSET($U$3,(ROWS($U$4:U8)-1),-(ROWS($U$4:U8)-1),1,1)</f>
        <v>8508.0506409999998</v>
      </c>
      <c r="E35" s="14">
        <f ca="1">OFFSET($U$28,0,-(ROWS($I$30:I34)-1),1,1)</f>
        <v>0.97151595998189288</v>
      </c>
      <c r="F35" s="17">
        <f t="shared" ca="1" si="23"/>
        <v>249.44896936005352</v>
      </c>
      <c r="G35" s="17">
        <f t="shared" ca="1" si="24"/>
        <v>8757.4996103600533</v>
      </c>
      <c r="H35" s="14">
        <f t="shared" ca="1" si="25"/>
        <v>0.36643116060768877</v>
      </c>
      <c r="I35" s="14">
        <f t="array" aca="1" ref="I35" ca="1">SUM($D$31:$D$50*$O$31^ABS(A35-$A$31:$A$50))/SUM($C$31:$C$50*$E$31:$E$50*$O$31^ABS(A35-$A$31:$A$50))</f>
        <v>0.3805457487221624</v>
      </c>
      <c r="J35" s="19">
        <f t="shared" ca="1" si="26"/>
        <v>259.05751207311863</v>
      </c>
      <c r="K35" s="13">
        <f t="shared" ca="1" si="27"/>
        <v>8767.108153073119</v>
      </c>
      <c r="L35" s="14">
        <f t="shared" ca="1" si="28"/>
        <v>0.36683320110038053</v>
      </c>
      <c r="AR35" s="10">
        <f ca="1">I35</f>
        <v>0.3805457487221624</v>
      </c>
      <c r="AS35">
        <v>0.36508935421002259</v>
      </c>
    </row>
    <row r="36" spans="1:45" x14ac:dyDescent="0.25">
      <c r="A36" s="11">
        <f t="shared" si="29"/>
        <v>6</v>
      </c>
      <c r="B36" s="12" t="s">
        <v>12</v>
      </c>
      <c r="C36" s="17">
        <v>21730.250199999999</v>
      </c>
      <c r="D36" s="13">
        <f ca="1">OFFSET($U$3,(ROWS($U$4:U9)-1),-(ROWS($U$4:U9)-1),1,1)</f>
        <v>6981.2221769999996</v>
      </c>
      <c r="E36" s="14">
        <f ca="1">OFFSET($U$28,0,-(ROWS($I$30:I35)-1),1,1)</f>
        <v>0.96421259688982441</v>
      </c>
      <c r="F36" s="17">
        <f t="shared" ca="1" si="23"/>
        <v>259.11278597259843</v>
      </c>
      <c r="G36" s="17">
        <f t="shared" ca="1" si="24"/>
        <v>7240.3349629725981</v>
      </c>
      <c r="H36" s="14">
        <f t="shared" ca="1" si="25"/>
        <v>0.33319151396483226</v>
      </c>
      <c r="I36" s="14">
        <f t="array" aca="1" ref="I36" ca="1">SUM($D$31:$D$50*$O$31^ABS(A36-$A$31:$A$50))/SUM($C$31:$C$50*$E$31:$E$50*$O$31^ABS(A36-$A$31:$A$50))</f>
        <v>0.38186029947737987</v>
      </c>
      <c r="J36" s="19">
        <f t="shared" ca="1" si="26"/>
        <v>296.96100261532524</v>
      </c>
      <c r="K36" s="13">
        <f t="shared" ca="1" si="27"/>
        <v>7278.1831796153247</v>
      </c>
      <c r="L36" s="14">
        <f t="shared" ca="1" si="28"/>
        <v>0.33493324341085245</v>
      </c>
      <c r="AR36" s="10">
        <f ca="1">I36</f>
        <v>0.38186029947737987</v>
      </c>
      <c r="AS36">
        <v>0.38216417764094945</v>
      </c>
    </row>
    <row r="37" spans="1:45" x14ac:dyDescent="0.25">
      <c r="A37" s="11">
        <f t="shared" si="29"/>
        <v>7</v>
      </c>
      <c r="B37" s="12" t="s">
        <v>13</v>
      </c>
      <c r="C37" s="17">
        <v>15231.760200000001</v>
      </c>
      <c r="D37" s="13">
        <f ca="1">OFFSET($U$3,(ROWS($U$4:U10)-1),-(ROWS($U$4:U10)-1),1,1)</f>
        <v>7503.6233940000002</v>
      </c>
      <c r="E37" s="14">
        <f ca="1">OFFSET($U$28,0,-(ROWS($I$30:I36)-1),1,1)</f>
        <v>0.98053700810412991</v>
      </c>
      <c r="F37" s="17">
        <f t="shared" ca="1" si="23"/>
        <v>148.94181463834593</v>
      </c>
      <c r="G37" s="17">
        <f t="shared" ca="1" si="24"/>
        <v>7652.5652086383461</v>
      </c>
      <c r="H37" s="14">
        <f t="shared" ca="1" si="25"/>
        <v>0.50240846154066587</v>
      </c>
      <c r="I37" s="14">
        <f t="array" aca="1" ref="I37" ca="1">SUM($D$31:$D$50*$O$31^ABS(A37-$A$31:$A$50))/SUM($C$31:$C$50*$E$31:$E$50*$O$31^ABS(A37-$A$31:$A$50))</f>
        <v>0.38330768913555568</v>
      </c>
      <c r="J37" s="19">
        <f t="shared" ca="1" si="26"/>
        <v>113.63372067741234</v>
      </c>
      <c r="K37" s="13">
        <f t="shared" ca="1" si="27"/>
        <v>7617.2571146774126</v>
      </c>
      <c r="L37" s="14">
        <f t="shared" ca="1" si="28"/>
        <v>0.50009040417255335</v>
      </c>
      <c r="AR37" s="10">
        <f ca="1">I37</f>
        <v>0.38330768913555568</v>
      </c>
      <c r="AS37">
        <v>0.40366299725446919</v>
      </c>
    </row>
    <row r="38" spans="1:45" x14ac:dyDescent="0.25">
      <c r="A38" s="11">
        <f t="shared" si="29"/>
        <v>8</v>
      </c>
      <c r="B38" s="12" t="s">
        <v>14</v>
      </c>
      <c r="C38" s="17">
        <v>11990.020200000001</v>
      </c>
      <c r="D38" s="13">
        <f ca="1">OFFSET($U$3,(ROWS($U$4:U11)-1),-(ROWS($U$4:U11)-1),1,1)</f>
        <v>8644.1149060000007</v>
      </c>
      <c r="E38" s="14">
        <f ca="1">OFFSET($U$28,0,-(ROWS($I$30:I37)-1),1,1)</f>
        <v>0.99858412650505535</v>
      </c>
      <c r="F38" s="17">
        <f t="shared" ca="1" si="23"/>
        <v>12.256326590626486</v>
      </c>
      <c r="G38" s="17">
        <f t="shared" ca="1" si="24"/>
        <v>8656.3712325906272</v>
      </c>
      <c r="H38" s="14">
        <f t="shared" ca="1" si="25"/>
        <v>0.72196469131808694</v>
      </c>
      <c r="I38" s="14">
        <f t="array" aca="1" ref="I38" ca="1">SUM($D$31:$D$50*$O$31^ABS(A38-$A$31:$A$50))/SUM($C$31:$C$50*$E$31:$E$50*$O$31^ABS(A38-$A$31:$A$50))</f>
        <v>0.38450942970984026</v>
      </c>
      <c r="J38" s="19">
        <f t="shared" ca="1" si="26"/>
        <v>6.5275673511060806</v>
      </c>
      <c r="K38" s="13">
        <f t="shared" ca="1" si="27"/>
        <v>8650.6424733511067</v>
      </c>
      <c r="L38" s="14">
        <f t="shared" ca="1" si="28"/>
        <v>0.7214868973574462</v>
      </c>
      <c r="T38" s="51" t="s">
        <v>46</v>
      </c>
      <c r="U38" s="51" t="s">
        <v>52</v>
      </c>
      <c r="V38" s="50" t="str">
        <f t="array" ref="V38:AO38">TRANSPOSE(B31:B51)</f>
        <v>201003</v>
      </c>
      <c r="W38" s="50" t="str">
        <v>201006</v>
      </c>
      <c r="X38" s="50" t="str">
        <v>201009</v>
      </c>
      <c r="Y38" s="50" t="str">
        <v>201012</v>
      </c>
      <c r="Z38" s="50" t="str">
        <v>201103</v>
      </c>
      <c r="AA38" s="50" t="str">
        <v>201106</v>
      </c>
      <c r="AB38" s="50" t="str">
        <v>201109</v>
      </c>
      <c r="AC38" s="50" t="str">
        <v>201112</v>
      </c>
      <c r="AD38" s="50" t="str">
        <v>201203</v>
      </c>
      <c r="AE38" s="50" t="str">
        <v>201206</v>
      </c>
      <c r="AF38" s="50" t="str">
        <v>201209</v>
      </c>
      <c r="AG38" s="50" t="str">
        <v>201212</v>
      </c>
      <c r="AH38" s="50" t="str">
        <v>201303</v>
      </c>
      <c r="AI38" s="50" t="str">
        <v>201306</v>
      </c>
      <c r="AJ38" s="50" t="str">
        <v>201309</v>
      </c>
      <c r="AK38" s="50" t="str">
        <v>201312</v>
      </c>
      <c r="AL38" s="50" t="str">
        <v>201403</v>
      </c>
      <c r="AM38" s="50" t="str">
        <v>201406</v>
      </c>
      <c r="AN38" s="50" t="str">
        <v>201409</v>
      </c>
      <c r="AO38" s="50" t="str">
        <v>201412</v>
      </c>
      <c r="AP38" s="50" t="s">
        <v>57</v>
      </c>
      <c r="AR38" s="10">
        <f ca="1">I38</f>
        <v>0.38450942970984026</v>
      </c>
      <c r="AS38">
        <v>0.41760756479799038</v>
      </c>
    </row>
    <row r="39" spans="1:45" x14ac:dyDescent="0.25">
      <c r="A39" s="11">
        <f t="shared" si="29"/>
        <v>9</v>
      </c>
      <c r="B39" s="12" t="s">
        <v>15</v>
      </c>
      <c r="C39" s="17">
        <v>11731.1402</v>
      </c>
      <c r="D39" s="13">
        <f ca="1">OFFSET($U$3,(ROWS($U$4:U12)-1),-(ROWS($U$4:U12)-1),1,1)</f>
        <v>2082.8039800000001</v>
      </c>
      <c r="E39" s="14">
        <f ca="1">OFFSET($U$28,0,-(ROWS($I$30:I38)-1),1,1)</f>
        <v>0.95023848981883741</v>
      </c>
      <c r="F39" s="17">
        <f t="shared" ca="1" si="23"/>
        <v>109.07100961138258</v>
      </c>
      <c r="G39" s="17">
        <f t="shared" ca="1" si="24"/>
        <v>2191.8749896113827</v>
      </c>
      <c r="H39" s="14">
        <f t="shared" ca="1" si="25"/>
        <v>0.18684245113798767</v>
      </c>
      <c r="I39" s="14">
        <f t="array" aca="1" ref="I39" ca="1">SUM($D$31:$D$50*$O$31^ABS(A39-$A$31:$A$50))/SUM($C$31:$C$50*$E$31:$E$50*$O$31^ABS(A39-$A$31:$A$50))</f>
        <v>0.38515834093580936</v>
      </c>
      <c r="J39" s="19">
        <f t="shared" ca="1" si="26"/>
        <v>224.83974519842218</v>
      </c>
      <c r="K39" s="13">
        <f t="shared" ca="1" si="27"/>
        <v>2307.6437251984225</v>
      </c>
      <c r="L39" s="14">
        <f t="shared" ca="1" si="28"/>
        <v>0.19671094930724828</v>
      </c>
      <c r="S39" s="4">
        <v>1E-4</v>
      </c>
      <c r="T39" s="53">
        <v>5160.8488283432116</v>
      </c>
      <c r="U39" s="53">
        <v>-6368.6523338985608</v>
      </c>
      <c r="V39" s="14">
        <v>0.36750314098335873</v>
      </c>
      <c r="W39" s="14">
        <v>0.22360616338896205</v>
      </c>
      <c r="X39" s="14">
        <v>0.31213611634502886</v>
      </c>
      <c r="Y39" s="14">
        <v>0.24019259388891381</v>
      </c>
      <c r="Z39" s="14">
        <v>0.36228628988442541</v>
      </c>
      <c r="AA39" s="14">
        <v>0.33400362553051194</v>
      </c>
      <c r="AB39" s="14">
        <v>0.58286298468722042</v>
      </c>
      <c r="AC39" s="14">
        <v>0.78304365440260337</v>
      </c>
      <c r="AD39" s="14">
        <v>0.21387225977326094</v>
      </c>
      <c r="AE39" s="14">
        <v>0.4317747025765129</v>
      </c>
      <c r="AF39" s="14">
        <v>0.57158470257344074</v>
      </c>
      <c r="AG39" s="14">
        <v>0.3902920081437265</v>
      </c>
      <c r="AH39" s="14">
        <v>0.348099049501365</v>
      </c>
      <c r="AI39" s="14">
        <v>0.80457034590996035</v>
      </c>
      <c r="AJ39" s="14">
        <v>0.30150212860519926</v>
      </c>
      <c r="AK39" s="14">
        <v>0.47881924041994733</v>
      </c>
      <c r="AL39" s="14">
        <v>0.32234729294835096</v>
      </c>
      <c r="AM39" s="14">
        <v>0.61952822451029355</v>
      </c>
      <c r="AN39" s="14">
        <v>0.39022383843740582</v>
      </c>
      <c r="AO39" s="14">
        <v>0.31527530096537953</v>
      </c>
      <c r="AP39" s="52">
        <v>2.7504915927204946E-2</v>
      </c>
      <c r="AR39" s="10">
        <f ca="1">I39</f>
        <v>0.38515834093580936</v>
      </c>
      <c r="AS39">
        <v>0.41695478805288427</v>
      </c>
    </row>
    <row r="40" spans="1:45" x14ac:dyDescent="0.25">
      <c r="A40" s="11">
        <f t="shared" si="29"/>
        <v>10</v>
      </c>
      <c r="B40" s="12" t="s">
        <v>16</v>
      </c>
      <c r="C40" s="17">
        <v>11502.870199999999</v>
      </c>
      <c r="D40" s="13">
        <f ca="1">OFFSET($U$3,(ROWS($U$4:U13)-1),-(ROWS($U$4:U13)-1),1,1)</f>
        <v>4600.6671729999998</v>
      </c>
      <c r="E40" s="14">
        <f ca="1">OFFSET($U$28,0,-(ROWS($I$30:I39)-1),1,1)</f>
        <v>0.92285208481001901</v>
      </c>
      <c r="F40" s="17">
        <f t="shared" ca="1" si="23"/>
        <v>384.60321726747861</v>
      </c>
      <c r="G40" s="17">
        <f t="shared" ca="1" si="24"/>
        <v>4985.2703902674784</v>
      </c>
      <c r="H40" s="14">
        <f t="shared" ca="1" si="25"/>
        <v>0.43339360556006956</v>
      </c>
      <c r="I40" s="14">
        <f t="array" aca="1" ref="I40" ca="1">SUM($D$31:$D$50*$O$31^ABS(A40-$A$31:$A$50))/SUM($C$31:$C$50*$E$31:$E$50*$O$31^ABS(A40-$A$31:$A$50))</f>
        <v>0.38611425643100616</v>
      </c>
      <c r="J40" s="19">
        <f t="shared" ca="1" si="26"/>
        <v>342.6464612100113</v>
      </c>
      <c r="K40" s="13">
        <f t="shared" ca="1" si="27"/>
        <v>4943.3136342100115</v>
      </c>
      <c r="L40" s="14">
        <f t="shared" ca="1" si="28"/>
        <v>0.42974610234322314</v>
      </c>
      <c r="S40" s="48">
        <v>0.05</v>
      </c>
      <c r="T40" s="53">
        <v>5062.6542557870207</v>
      </c>
      <c r="U40" s="53">
        <v>-6194.228839743103</v>
      </c>
      <c r="V40" s="14">
        <v>0.36047527381157379</v>
      </c>
      <c r="W40" s="14">
        <v>0.23399583315805386</v>
      </c>
      <c r="X40" s="14">
        <v>0.30504130816220171</v>
      </c>
      <c r="Y40" s="14">
        <v>0.24905765454578085</v>
      </c>
      <c r="Z40" s="14">
        <v>0.35566824463385249</v>
      </c>
      <c r="AA40" s="14">
        <v>0.34366082527367964</v>
      </c>
      <c r="AB40" s="14">
        <v>0.57250806989411918</v>
      </c>
      <c r="AC40" s="14">
        <v>0.74395596319788448</v>
      </c>
      <c r="AD40" s="14">
        <v>0.25086576101316815</v>
      </c>
      <c r="AE40" s="14">
        <v>0.42910872350083651</v>
      </c>
      <c r="AF40" s="14">
        <v>0.55613168789201173</v>
      </c>
      <c r="AG40" s="14">
        <v>0.39713575054652889</v>
      </c>
      <c r="AH40" s="14">
        <v>0.3701816227570594</v>
      </c>
      <c r="AI40" s="14">
        <v>0.75404719148352961</v>
      </c>
      <c r="AJ40" s="14">
        <v>0.3280763724453164</v>
      </c>
      <c r="AK40" s="14">
        <v>0.46413285312538366</v>
      </c>
      <c r="AL40" s="14">
        <v>0.3431950540702417</v>
      </c>
      <c r="AM40" s="14">
        <v>0.59536143764388749</v>
      </c>
      <c r="AN40" s="14">
        <v>0.39777554534042125</v>
      </c>
      <c r="AO40" s="14">
        <v>0.32017356890349069</v>
      </c>
      <c r="AP40" s="52">
        <v>2.3493272354011979E-2</v>
      </c>
      <c r="AR40" s="10">
        <f ca="1">I40</f>
        <v>0.38611425643100616</v>
      </c>
      <c r="AS40">
        <v>0.42513180156861863</v>
      </c>
    </row>
    <row r="41" spans="1:45" x14ac:dyDescent="0.25">
      <c r="A41" s="11">
        <f t="shared" si="29"/>
        <v>11</v>
      </c>
      <c r="B41" s="12" t="s">
        <v>17</v>
      </c>
      <c r="C41" s="17">
        <v>13316.540199999999</v>
      </c>
      <c r="D41" s="13">
        <f ca="1">OFFSET($U$3,(ROWS($U$4:U14)-1),-(ROWS($U$4:U14)-1),1,1)</f>
        <v>6825.708533</v>
      </c>
      <c r="E41" s="14">
        <f ca="1">OFFSET($U$28,0,-(ROWS($I$30:I40)-1),1,1)</f>
        <v>0.8949071699447283</v>
      </c>
      <c r="F41" s="17">
        <f t="shared" ca="1" si="23"/>
        <v>801.57255518434522</v>
      </c>
      <c r="G41" s="17">
        <f t="shared" ca="1" si="24"/>
        <v>7627.2810881843452</v>
      </c>
      <c r="H41" s="14">
        <f t="shared" ca="1" si="25"/>
        <v>0.57276747365538272</v>
      </c>
      <c r="I41" s="14">
        <f t="array" aca="1" ref="I41" ca="1">SUM($D$31:$D$50*$O$31^ABS(A41-$A$31:$A$50))/SUM($C$31:$C$50*$E$31:$E$50*$O$31^ABS(A41-$A$31:$A$50))</f>
        <v>0.38700679521953257</v>
      </c>
      <c r="J41" s="19">
        <f t="shared" ca="1" si="26"/>
        <v>541.60552054056052</v>
      </c>
      <c r="K41" s="13">
        <f t="shared" ca="1" si="27"/>
        <v>7367.3140535405601</v>
      </c>
      <c r="L41" s="14">
        <f t="shared" ca="1" si="28"/>
        <v>0.55324535824557197</v>
      </c>
      <c r="S41" s="49">
        <f>S40+5%</f>
        <v>0.1</v>
      </c>
      <c r="T41" s="53">
        <v>4965.1972309942366</v>
      </c>
      <c r="U41" s="53">
        <v>-6026.1555979583018</v>
      </c>
      <c r="V41" s="14">
        <v>0.35385146865373718</v>
      </c>
      <c r="W41" s="14">
        <v>0.24273534680768818</v>
      </c>
      <c r="X41" s="14">
        <v>0.29974114771169214</v>
      </c>
      <c r="Y41" s="14">
        <v>0.25674473292819311</v>
      </c>
      <c r="Z41" s="14">
        <v>0.35060432055913199</v>
      </c>
      <c r="AA41" s="14">
        <v>0.35214876857983002</v>
      </c>
      <c r="AB41" s="14">
        <v>0.56126033391943819</v>
      </c>
      <c r="AC41" s="14">
        <v>0.70797777872520873</v>
      </c>
      <c r="AD41" s="14">
        <v>0.28455318366433408</v>
      </c>
      <c r="AE41" s="14">
        <v>0.42838765337438806</v>
      </c>
      <c r="AF41" s="14">
        <v>0.5413730927192606</v>
      </c>
      <c r="AG41" s="14">
        <v>0.40442973377130309</v>
      </c>
      <c r="AH41" s="14">
        <v>0.38894111489090338</v>
      </c>
      <c r="AI41" s="14">
        <v>0.71041224212492171</v>
      </c>
      <c r="AJ41" s="14">
        <v>0.35061443567138378</v>
      </c>
      <c r="AK41" s="14">
        <v>0.45388799923301815</v>
      </c>
      <c r="AL41" s="14">
        <v>0.3605243341545859</v>
      </c>
      <c r="AM41" s="14">
        <v>0.57380676270585595</v>
      </c>
      <c r="AN41" s="14">
        <v>0.40381381231479035</v>
      </c>
      <c r="AO41" s="14">
        <v>0.32609880073293873</v>
      </c>
      <c r="AP41" s="52">
        <v>2.0115953965932156E-2</v>
      </c>
      <c r="AR41" s="10">
        <f ca="1">I41</f>
        <v>0.38700679521953257</v>
      </c>
      <c r="AS41">
        <v>0.43337712831301017</v>
      </c>
    </row>
    <row r="42" spans="1:45" x14ac:dyDescent="0.25">
      <c r="A42" s="11">
        <f t="shared" si="29"/>
        <v>12</v>
      </c>
      <c r="B42" s="12" t="s">
        <v>18</v>
      </c>
      <c r="C42" s="17">
        <v>14269.7402</v>
      </c>
      <c r="D42" s="13">
        <f ca="1">OFFSET($U$3,(ROWS($U$4:U15)-1),-(ROWS($U$4:U15)-1),1,1)</f>
        <v>5107.3856580000001</v>
      </c>
      <c r="E42" s="14">
        <f ca="1">OFFSET($U$28,0,-(ROWS($I$30:I41)-1),1,1)</f>
        <v>0.90142158816824269</v>
      </c>
      <c r="F42" s="17">
        <f t="shared" ca="1" si="23"/>
        <v>558.53772905643473</v>
      </c>
      <c r="G42" s="17">
        <f t="shared" ca="1" si="24"/>
        <v>5665.9233870564349</v>
      </c>
      <c r="H42" s="14">
        <f t="shared" ca="1" si="25"/>
        <v>0.39705862248679447</v>
      </c>
      <c r="I42" s="14">
        <f t="array" aca="1" ref="I42" ca="1">SUM($D$31:$D$50*$O$31^ABS(A42-$A$31:$A$50))/SUM($C$31:$C$50*$E$31:$E$50*$O$31^ABS(A42-$A$31:$A$50))</f>
        <v>0.3875995924624242</v>
      </c>
      <c r="J42" s="19">
        <f t="shared" ca="1" si="26"/>
        <v>545.23182194428227</v>
      </c>
      <c r="K42" s="13">
        <f t="shared" ca="1" si="27"/>
        <v>5652.6174799442824</v>
      </c>
      <c r="L42" s="14">
        <f t="shared" ca="1" si="28"/>
        <v>0.39612616632952313</v>
      </c>
      <c r="S42" s="49">
        <f t="shared" ref="S42:S59" si="30">S41+5%</f>
        <v>0.15000000000000002</v>
      </c>
      <c r="T42" s="53">
        <v>4870.3466378937683</v>
      </c>
      <c r="U42" s="53">
        <v>-5867.8041873242337</v>
      </c>
      <c r="V42" s="14">
        <v>0.34761722212797558</v>
      </c>
      <c r="W42" s="14">
        <v>0.25017403808873001</v>
      </c>
      <c r="X42" s="14">
        <v>0.29596091056112511</v>
      </c>
      <c r="Y42" s="14">
        <v>0.26356465843055737</v>
      </c>
      <c r="Z42" s="14">
        <v>0.3468724170266273</v>
      </c>
      <c r="AA42" s="14">
        <v>0.35944464241197882</v>
      </c>
      <c r="AB42" s="14">
        <v>0.54931731153836449</v>
      </c>
      <c r="AC42" s="14">
        <v>0.67487610262725439</v>
      </c>
      <c r="AD42" s="14">
        <v>0.31478989880273073</v>
      </c>
      <c r="AE42" s="14">
        <v>0.42918096208032308</v>
      </c>
      <c r="AF42" s="14">
        <v>0.52780047304218891</v>
      </c>
      <c r="AG42" s="14">
        <v>0.41175992797829725</v>
      </c>
      <c r="AH42" s="14">
        <v>0.4047087418404593</v>
      </c>
      <c r="AI42" s="14">
        <v>0.67262125786040772</v>
      </c>
      <c r="AJ42" s="14">
        <v>0.36966359533642201</v>
      </c>
      <c r="AK42" s="14">
        <v>0.44708078079911634</v>
      </c>
      <c r="AL42" s="14">
        <v>0.3749401717236393</v>
      </c>
      <c r="AM42" s="14">
        <v>0.55460675276271709</v>
      </c>
      <c r="AN42" s="14">
        <v>0.40863445946292165</v>
      </c>
      <c r="AO42" s="14">
        <v>0.33279469178615534</v>
      </c>
      <c r="AP42" s="52">
        <v>1.7291771650614136E-2</v>
      </c>
      <c r="AR42" s="10">
        <f ca="1">I42</f>
        <v>0.3875995924624242</v>
      </c>
      <c r="AS42">
        <v>0.43534893558940613</v>
      </c>
    </row>
    <row r="43" spans="1:45" x14ac:dyDescent="0.25">
      <c r="A43" s="11">
        <f t="shared" si="29"/>
        <v>13</v>
      </c>
      <c r="B43" s="12" t="s">
        <v>19</v>
      </c>
      <c r="C43" s="17">
        <v>15193.120199999999</v>
      </c>
      <c r="D43" s="13">
        <f ca="1">OFFSET($U$3,(ROWS($U$4:U16)-1),-(ROWS($U$4:U16)-1),1,1)</f>
        <v>4847.1499620000004</v>
      </c>
      <c r="E43" s="14">
        <f ca="1">OFFSET($U$28,0,-(ROWS($I$30:I42)-1),1,1)</f>
        <v>0.87490784428546942</v>
      </c>
      <c r="F43" s="17">
        <f t="shared" ca="1" si="23"/>
        <v>693.03349121687097</v>
      </c>
      <c r="G43" s="17">
        <f t="shared" ca="1" si="24"/>
        <v>5540.1834532168714</v>
      </c>
      <c r="H43" s="14">
        <f t="shared" ca="1" si="25"/>
        <v>0.36465080117097154</v>
      </c>
      <c r="I43" s="14">
        <f t="array" aca="1" ref="I43" ca="1">SUM($D$31:$D$50*$O$31^ABS(A43-$A$31:$A$50))/SUM($C$31:$C$50*$E$31:$E$50*$O$31^ABS(A43-$A$31:$A$50))</f>
        <v>0.38818207631900897</v>
      </c>
      <c r="J43" s="19">
        <f t="shared" ca="1" si="26"/>
        <v>737.75562460108597</v>
      </c>
      <c r="K43" s="13">
        <f t="shared" ca="1" si="27"/>
        <v>5584.9055866010867</v>
      </c>
      <c r="L43" s="14">
        <f t="shared" ca="1" si="28"/>
        <v>0.36759437910595133</v>
      </c>
      <c r="S43" s="49">
        <f t="shared" si="30"/>
        <v>0.2</v>
      </c>
      <c r="T43" s="53">
        <v>4779.3566432508087</v>
      </c>
      <c r="U43" s="53">
        <v>-5721.0541877766482</v>
      </c>
      <c r="V43" s="14">
        <v>0.34176249287454813</v>
      </c>
      <c r="W43" s="14">
        <v>0.25660543882866044</v>
      </c>
      <c r="X43" s="14">
        <v>0.29347376379870366</v>
      </c>
      <c r="Y43" s="14">
        <v>0.26978042921037465</v>
      </c>
      <c r="Z43" s="14">
        <v>0.3442683209887909</v>
      </c>
      <c r="AA43" s="14">
        <v>0.36555882972776277</v>
      </c>
      <c r="AB43" s="14">
        <v>0.53683887069527414</v>
      </c>
      <c r="AC43" s="14">
        <v>0.64434925389450115</v>
      </c>
      <c r="AD43" s="14">
        <v>0.34152287408479826</v>
      </c>
      <c r="AE43" s="14">
        <v>0.43111223373245905</v>
      </c>
      <c r="AF43" s="14">
        <v>0.51569019428441754</v>
      </c>
      <c r="AG43" s="14">
        <v>0.4188585176035447</v>
      </c>
      <c r="AH43" s="14">
        <v>0.41781733911965335</v>
      </c>
      <c r="AI43" s="14">
        <v>0.63977646310888225</v>
      </c>
      <c r="AJ43" s="14">
        <v>0.38573193557608015</v>
      </c>
      <c r="AK43" s="14">
        <v>0.44287661288917685</v>
      </c>
      <c r="AL43" s="14">
        <v>0.38696423450385037</v>
      </c>
      <c r="AM43" s="14">
        <v>0.53751421389593046</v>
      </c>
      <c r="AN43" s="14">
        <v>0.41248038912888335</v>
      </c>
      <c r="AO43" s="14">
        <v>0.34004116463228207</v>
      </c>
      <c r="AP43" s="52">
        <v>1.4933318368433014E-2</v>
      </c>
      <c r="AR43" s="10">
        <f ca="1">I43</f>
        <v>0.38818207631900897</v>
      </c>
      <c r="AS43">
        <v>0.43960522913347599</v>
      </c>
    </row>
    <row r="44" spans="1:45" x14ac:dyDescent="0.25">
      <c r="A44" s="11">
        <f t="shared" si="29"/>
        <v>14</v>
      </c>
      <c r="B44" s="12" t="s">
        <v>20</v>
      </c>
      <c r="C44" s="17">
        <v>15076.780199999999</v>
      </c>
      <c r="D44" s="13">
        <f ca="1">OFFSET($U$3,(ROWS($U$4:U17)-1),-(ROWS($U$4:U17)-1),1,1)</f>
        <v>10125.441360000001</v>
      </c>
      <c r="E44" s="14">
        <f ca="1">OFFSET($U$28,0,-(ROWS($I$30:I43)-1),1,1)</f>
        <v>0.86127739440042028</v>
      </c>
      <c r="F44" s="17">
        <f t="shared" ca="1" si="23"/>
        <v>1630.86552304416</v>
      </c>
      <c r="G44" s="17">
        <f t="shared" ca="1" si="24"/>
        <v>11756.306883044161</v>
      </c>
      <c r="H44" s="14">
        <f t="shared" ca="1" si="25"/>
        <v>0.77976243780778609</v>
      </c>
      <c r="I44" s="14">
        <f t="array" aca="1" ref="I44" ca="1">SUM($D$31:$D$50*$O$31^ABS(A44-$A$31:$A$50))/SUM($C$31:$C$50*$E$31:$E$50*$O$31^ABS(A44-$A$31:$A$50))</f>
        <v>0.38881690415077347</v>
      </c>
      <c r="J44" s="19">
        <f t="shared" ca="1" si="26"/>
        <v>813.20675761067071</v>
      </c>
      <c r="K44" s="13">
        <f t="shared" ca="1" si="27"/>
        <v>10938.648117610672</v>
      </c>
      <c r="L44" s="14">
        <f t="shared" ca="1" si="28"/>
        <v>0.7255294547313671</v>
      </c>
      <c r="S44" s="49">
        <f t="shared" si="30"/>
        <v>0.25</v>
      </c>
      <c r="T44" s="53">
        <v>4693.0527077297884</v>
      </c>
      <c r="U44" s="53">
        <v>-5586.7377734342272</v>
      </c>
      <c r="V44" s="14">
        <v>0.3362985560494281</v>
      </c>
      <c r="W44" s="14">
        <v>0.26227223042843018</v>
      </c>
      <c r="X44" s="14">
        <v>0.2921075843629321</v>
      </c>
      <c r="Y44" s="14">
        <v>0.27559962759101403</v>
      </c>
      <c r="Z44" s="14">
        <v>0.34261643427095267</v>
      </c>
      <c r="AA44" s="14">
        <v>0.37051915537893743</v>
      </c>
      <c r="AB44" s="14">
        <v>0.52397133562446785</v>
      </c>
      <c r="AC44" s="14">
        <v>0.61611645186710307</v>
      </c>
      <c r="AD44" s="14">
        <v>0.3647198025137684</v>
      </c>
      <c r="AE44" s="14">
        <v>0.43383249588484474</v>
      </c>
      <c r="AF44" s="14">
        <v>0.50516417884333797</v>
      </c>
      <c r="AG44" s="14">
        <v>0.42555025946601993</v>
      </c>
      <c r="AH44" s="14">
        <v>0.42856963193284897</v>
      </c>
      <c r="AI44" s="14">
        <v>0.61116562146596309</v>
      </c>
      <c r="AJ44" s="14">
        <v>0.39924294820390915</v>
      </c>
      <c r="AK44" s="14">
        <v>0.44060258158767257</v>
      </c>
      <c r="AL44" s="14">
        <v>0.39701690457199712</v>
      </c>
      <c r="AM44" s="14">
        <v>0.52232836392936299</v>
      </c>
      <c r="AN44" s="14">
        <v>0.41554980301749145</v>
      </c>
      <c r="AO44" s="14">
        <v>0.34764612459689503</v>
      </c>
      <c r="AP44" s="52">
        <v>1.295966071182543E-2</v>
      </c>
      <c r="AR44" s="10">
        <f ca="1">I44</f>
        <v>0.38881690415077347</v>
      </c>
      <c r="AS44">
        <v>0.44892408822126517</v>
      </c>
    </row>
    <row r="45" spans="1:45" x14ac:dyDescent="0.25">
      <c r="A45" s="11">
        <f t="shared" si="29"/>
        <v>15</v>
      </c>
      <c r="B45" s="12" t="s">
        <v>21</v>
      </c>
      <c r="C45" s="17">
        <v>18804.480200000002</v>
      </c>
      <c r="D45" s="13">
        <f ca="1">OFFSET($U$3,(ROWS($U$4:U18)-1),-(ROWS($U$4:U18)-1),1,1)</f>
        <v>4755.1345259999998</v>
      </c>
      <c r="E45" s="14">
        <f ca="1">OFFSET($U$28,0,-(ROWS($I$30:I44)-1),1,1)</f>
        <v>0.85683424339644976</v>
      </c>
      <c r="F45" s="17">
        <f t="shared" ca="1" si="23"/>
        <v>794.52057082581723</v>
      </c>
      <c r="G45" s="17">
        <f t="shared" ca="1" si="24"/>
        <v>5549.6550968258171</v>
      </c>
      <c r="H45" s="14">
        <f t="shared" ca="1" si="25"/>
        <v>0.29512408946171331</v>
      </c>
      <c r="I45" s="14">
        <f t="array" aca="1" ref="I45" ca="1">SUM($D$31:$D$50*$O$31^ABS(A45-$A$31:$A$50))/SUM($C$31:$C$50*$E$31:$E$50*$O$31^ABS(A45-$A$31:$A$50))</f>
        <v>0.38874102100059449</v>
      </c>
      <c r="J45" s="19">
        <f t="shared" ca="1" si="26"/>
        <v>1046.5521078680779</v>
      </c>
      <c r="K45" s="13">
        <f t="shared" ca="1" si="27"/>
        <v>5801.6866338680775</v>
      </c>
      <c r="L45" s="14">
        <f t="shared" ca="1" si="28"/>
        <v>0.30852682829637995</v>
      </c>
      <c r="S45" s="49">
        <f t="shared" si="30"/>
        <v>0.3</v>
      </c>
      <c r="T45" s="53">
        <v>4611.8411679711016</v>
      </c>
      <c r="U45" s="53">
        <v>-5464.7504162424075</v>
      </c>
      <c r="V45" s="14">
        <v>0.33126095821608598</v>
      </c>
      <c r="W45" s="14">
        <v>0.26738517417391749</v>
      </c>
      <c r="X45" s="14">
        <v>0.2917358438665395</v>
      </c>
      <c r="Y45" s="14">
        <v>0.2811849151756145</v>
      </c>
      <c r="Z45" s="14">
        <v>0.34176728121849359</v>
      </c>
      <c r="AA45" s="14">
        <v>0.37437486728447045</v>
      </c>
      <c r="AB45" s="14">
        <v>0.51085492200183191</v>
      </c>
      <c r="AC45" s="14">
        <v>0.58992648872326803</v>
      </c>
      <c r="AD45" s="14">
        <v>0.38437349132925253</v>
      </c>
      <c r="AE45" s="14">
        <v>0.43699679947630171</v>
      </c>
      <c r="AF45" s="14">
        <v>0.49621165742334755</v>
      </c>
      <c r="AG45" s="14">
        <v>0.43171841128503408</v>
      </c>
      <c r="AH45" s="14">
        <v>0.43724499960670737</v>
      </c>
      <c r="AI45" s="14">
        <v>0.58621364030816581</v>
      </c>
      <c r="AJ45" s="14">
        <v>0.41054832200702651</v>
      </c>
      <c r="AK45" s="14">
        <v>0.43971672804118794</v>
      </c>
      <c r="AL45" s="14">
        <v>0.40543876158578385</v>
      </c>
      <c r="AM45" s="14">
        <v>0.50888340107208896</v>
      </c>
      <c r="AN45" s="14">
        <v>0.41801219403718076</v>
      </c>
      <c r="AO45" s="14">
        <v>0.35544687028797117</v>
      </c>
      <c r="AP45" s="52">
        <v>1.1299159043977151E-2</v>
      </c>
      <c r="AR45" s="10">
        <f ca="1">I45</f>
        <v>0.38874102100059449</v>
      </c>
      <c r="AS45">
        <v>0.43972320410566862</v>
      </c>
    </row>
    <row r="46" spans="1:45" x14ac:dyDescent="0.25">
      <c r="A46" s="11">
        <f t="shared" si="29"/>
        <v>16</v>
      </c>
      <c r="B46" s="12" t="s">
        <v>22</v>
      </c>
      <c r="C46" s="17">
        <v>17929.950199999999</v>
      </c>
      <c r="D46" s="13">
        <f ca="1">OFFSET($U$3,(ROWS($U$4:U19)-1),-(ROWS($U$4:U19)-1),1,1)</f>
        <v>7419.1993769999999</v>
      </c>
      <c r="E46" s="14">
        <f ca="1">OFFSET($U$28,0,-(ROWS($I$30:I45)-1),1,1)</f>
        <v>0.83576461545163616</v>
      </c>
      <c r="F46" s="17">
        <f t="shared" ca="1" si="23"/>
        <v>1457.9404777314221</v>
      </c>
      <c r="G46" s="17">
        <f t="shared" ca="1" si="24"/>
        <v>8877.139854731422</v>
      </c>
      <c r="H46" s="14">
        <f t="shared" ca="1" si="25"/>
        <v>0.49510119970837524</v>
      </c>
      <c r="I46" s="14">
        <f t="array" aca="1" ref="I46" ca="1">SUM($D$31:$D$50*$O$31^ABS(A46-$A$31:$A$50))/SUM($C$31:$C$50*$E$31:$E$50*$O$31^ABS(A46-$A$31:$A$50))</f>
        <v>0.38888042530212535</v>
      </c>
      <c r="J46" s="19">
        <f t="shared" ca="1" si="26"/>
        <v>1145.1487360146427</v>
      </c>
      <c r="K46" s="13">
        <f t="shared" ca="1" si="27"/>
        <v>8564.3481130146429</v>
      </c>
      <c r="L46" s="14">
        <f t="shared" ca="1" si="28"/>
        <v>0.47765598997673975</v>
      </c>
      <c r="S46" s="49">
        <f t="shared" si="30"/>
        <v>0.35</v>
      </c>
      <c r="T46" s="53">
        <v>4535.736991880869</v>
      </c>
      <c r="U46" s="53">
        <v>-5354.1809922309585</v>
      </c>
      <c r="V46" s="14">
        <v>0.32671253611081652</v>
      </c>
      <c r="W46" s="14">
        <v>0.27213628598682976</v>
      </c>
      <c r="X46" s="14">
        <v>0.2922698716851434</v>
      </c>
      <c r="Y46" s="14">
        <v>0.28666399119334007</v>
      </c>
      <c r="Z46" s="14">
        <v>0.34159658326705195</v>
      </c>
      <c r="AA46" s="14">
        <v>0.37719997608790207</v>
      </c>
      <c r="AB46" s="14">
        <v>0.49763224311971183</v>
      </c>
      <c r="AC46" s="14">
        <v>0.56556651771647137</v>
      </c>
      <c r="AD46" s="14">
        <v>0.40050618691320816</v>
      </c>
      <c r="AE46" s="14">
        <v>0.44025078309431281</v>
      </c>
      <c r="AF46" s="14">
        <v>0.48870528976920341</v>
      </c>
      <c r="AG46" s="14">
        <v>0.43727423268862281</v>
      </c>
      <c r="AH46" s="14">
        <v>0.44409809279977319</v>
      </c>
      <c r="AI46" s="14">
        <v>0.56444696059513988</v>
      </c>
      <c r="AJ46" s="14">
        <v>0.41994036593800138</v>
      </c>
      <c r="AK46" s="14">
        <v>0.43978534780365369</v>
      </c>
      <c r="AL46" s="14">
        <v>0.41250737148850958</v>
      </c>
      <c r="AM46" s="14">
        <v>0.49704001901281941</v>
      </c>
      <c r="AN46" s="14">
        <v>0.42001832353040353</v>
      </c>
      <c r="AO46" s="14">
        <v>0.3633115506483009</v>
      </c>
      <c r="AP46" s="52">
        <v>9.8911087889577195E-3</v>
      </c>
      <c r="AR46" s="10">
        <f ca="1">I46</f>
        <v>0.38888042530212535</v>
      </c>
      <c r="AS46">
        <v>0.43933331163825351</v>
      </c>
    </row>
    <row r="47" spans="1:45" x14ac:dyDescent="0.25">
      <c r="A47" s="11">
        <f t="shared" si="29"/>
        <v>17</v>
      </c>
      <c r="B47" s="12" t="s">
        <v>23</v>
      </c>
      <c r="C47" s="17">
        <v>18824.710200000001</v>
      </c>
      <c r="D47" s="13">
        <f ca="1">OFFSET($U$3,(ROWS($U$4:U20)-1),-(ROWS($U$4:U20)-1),1,1)</f>
        <v>4024.5331259999998</v>
      </c>
      <c r="E47" s="14">
        <f ca="1">OFFSET($U$28,0,-(ROWS($I$30:I46)-1),1,1)</f>
        <v>0.80185455674006056</v>
      </c>
      <c r="F47" s="17">
        <f t="shared" ca="1" si="23"/>
        <v>994.498183570327</v>
      </c>
      <c r="G47" s="17">
        <f t="shared" ca="1" si="24"/>
        <v>5019.0313095703268</v>
      </c>
      <c r="H47" s="14">
        <f t="shared" ca="1" si="25"/>
        <v>0.26661931345802742</v>
      </c>
      <c r="I47" s="14">
        <f t="array" aca="1" ref="I47" ca="1">SUM($D$31:$D$50*$O$31^ABS(A47-$A$31:$A$50))/SUM($C$31:$C$50*$E$31:$E$50*$O$31^ABS(A47-$A$31:$A$50))</f>
        <v>0.38879139456023465</v>
      </c>
      <c r="J47" s="19">
        <f t="shared" ca="1" si="26"/>
        <v>1450.2037780499961</v>
      </c>
      <c r="K47" s="13">
        <f t="shared" ca="1" si="27"/>
        <v>5474.7369040499962</v>
      </c>
      <c r="L47" s="14">
        <f t="shared" ca="1" si="28"/>
        <v>0.29082715462201358</v>
      </c>
      <c r="S47" s="49">
        <f t="shared" si="30"/>
        <v>0.39999999999999997</v>
      </c>
      <c r="T47" s="53">
        <v>4464.4082445509484</v>
      </c>
      <c r="U47" s="53">
        <v>-5253.4601632062549</v>
      </c>
      <c r="V47" s="14">
        <v>0.32274605041187576</v>
      </c>
      <c r="W47" s="14">
        <v>0.27670838791382718</v>
      </c>
      <c r="X47" s="14">
        <v>0.29365316971637428</v>
      </c>
      <c r="Y47" s="14">
        <v>0.2921394115412882</v>
      </c>
      <c r="Z47" s="14">
        <v>0.34200575031003078</v>
      </c>
      <c r="AA47" s="14">
        <v>0.37909584645370759</v>
      </c>
      <c r="AB47" s="14">
        <v>0.4844560241548253</v>
      </c>
      <c r="AC47" s="14">
        <v>0.54287003607493745</v>
      </c>
      <c r="AD47" s="14">
        <v>0.41317597764912134</v>
      </c>
      <c r="AE47" s="14">
        <v>0.44322769524964073</v>
      </c>
      <c r="AF47" s="14">
        <v>0.48241446130169141</v>
      </c>
      <c r="AG47" s="14">
        <v>0.44212891094354045</v>
      </c>
      <c r="AH47" s="14">
        <v>0.44935050335551791</v>
      </c>
      <c r="AI47" s="14">
        <v>0.54546458514995844</v>
      </c>
      <c r="AJ47" s="14">
        <v>0.42766248669293222</v>
      </c>
      <c r="AK47" s="14">
        <v>0.44046526472433734</v>
      </c>
      <c r="AL47" s="14">
        <v>0.41845042874124827</v>
      </c>
      <c r="AM47" s="14">
        <v>0.48667911564936689</v>
      </c>
      <c r="AN47" s="14">
        <v>0.42170615709079934</v>
      </c>
      <c r="AO47" s="14">
        <v>0.37113993349383639</v>
      </c>
      <c r="AP47" s="52">
        <v>8.6863333670290071E-3</v>
      </c>
      <c r="AR47" s="10">
        <f ca="1">I47</f>
        <v>0.38879139456023465</v>
      </c>
      <c r="AS47">
        <v>0.4362640503439929</v>
      </c>
    </row>
    <row r="48" spans="1:45" x14ac:dyDescent="0.25">
      <c r="A48" s="11">
        <f t="shared" si="29"/>
        <v>18</v>
      </c>
      <c r="B48" s="12" t="s">
        <v>24</v>
      </c>
      <c r="C48" s="17">
        <v>20181.340199999999</v>
      </c>
      <c r="D48" s="13">
        <f ca="1">OFFSET($U$3,(ROWS($U$4:U21)-1),-(ROWS($U$4:U21)-1),1,1)</f>
        <v>8147.7663220000004</v>
      </c>
      <c r="E48" s="14">
        <f ca="1">OFFSET($U$28,0,-(ROWS($I$30:I47)-1),1,1)</f>
        <v>0.75787044895061118</v>
      </c>
      <c r="F48" s="17">
        <f t="shared" ca="1" si="23"/>
        <v>2603.1032141876722</v>
      </c>
      <c r="G48" s="17">
        <f t="shared" ca="1" si="24"/>
        <v>10750.869536187673</v>
      </c>
      <c r="H48" s="14">
        <f t="shared" ca="1" si="25"/>
        <v>0.53271335945209786</v>
      </c>
      <c r="I48" s="14">
        <f t="array" aca="1" ref="I48" ca="1">SUM($D$31:$D$50*$O$31^ABS(A48-$A$31:$A$50))/SUM($C$31:$C$50*$E$31:$E$50*$O$31^ABS(A48-$A$31:$A$50))</f>
        <v>0.38897257639493799</v>
      </c>
      <c r="J48" s="19">
        <f t="shared" ca="1" si="26"/>
        <v>1900.7140442017976</v>
      </c>
      <c r="K48" s="13">
        <f t="shared" ca="1" si="27"/>
        <v>10048.480366201798</v>
      </c>
      <c r="L48" s="14">
        <f t="shared" ca="1" si="28"/>
        <v>0.49790946818298021</v>
      </c>
      <c r="S48" s="49">
        <f t="shared" si="30"/>
        <v>0.44999999999999996</v>
      </c>
      <c r="T48" s="53">
        <v>4397.2378203762064</v>
      </c>
      <c r="U48" s="53">
        <v>-5160.5286872261768</v>
      </c>
      <c r="V48" s="14">
        <v>0.31948632437219038</v>
      </c>
      <c r="W48" s="14">
        <v>0.28128277082700542</v>
      </c>
      <c r="X48" s="14">
        <v>0.29585832968737763</v>
      </c>
      <c r="Y48" s="14">
        <v>0.29769865526506534</v>
      </c>
      <c r="Z48" s="14">
        <v>0.34292371972761881</v>
      </c>
      <c r="AA48" s="14">
        <v>0.38019285152480242</v>
      </c>
      <c r="AB48" s="14">
        <v>0.47149454584311146</v>
      </c>
      <c r="AC48" s="14">
        <v>0.52172293597702335</v>
      </c>
      <c r="AD48" s="14">
        <v>0.42248671350152017</v>
      </c>
      <c r="AE48" s="14">
        <v>0.44555714480057462</v>
      </c>
      <c r="AF48" s="14">
        <v>0.47701965709806515</v>
      </c>
      <c r="AG48" s="14">
        <v>0.44616876065353511</v>
      </c>
      <c r="AH48" s="14">
        <v>0.45317691057671083</v>
      </c>
      <c r="AI48" s="14">
        <v>0.5289114383787431</v>
      </c>
      <c r="AJ48" s="14">
        <v>0.43391540448207472</v>
      </c>
      <c r="AK48" s="14">
        <v>0.44148802446373447</v>
      </c>
      <c r="AL48" s="14">
        <v>0.4234554150263935</v>
      </c>
      <c r="AM48" s="14">
        <v>0.4776967759143706</v>
      </c>
      <c r="AN48" s="14">
        <v>0.42320387579938662</v>
      </c>
      <c r="AO48" s="14">
        <v>0.37886290527889077</v>
      </c>
      <c r="AP48" s="52">
        <v>7.6469083916339865E-3</v>
      </c>
      <c r="AR48" s="10">
        <f ca="1">I48</f>
        <v>0.38897257639493799</v>
      </c>
      <c r="AS48">
        <v>0.44119308521752215</v>
      </c>
    </row>
    <row r="49" spans="1:45" x14ac:dyDescent="0.25">
      <c r="A49" s="11">
        <f t="shared" si="29"/>
        <v>19</v>
      </c>
      <c r="B49" s="12" t="s">
        <v>25</v>
      </c>
      <c r="C49" s="17">
        <v>20891.360199999999</v>
      </c>
      <c r="D49" s="13">
        <f ca="1">OFFSET($U$3,(ROWS($U$4:U22)-1),-(ROWS($U$4:U22)-1),1,1)</f>
        <v>4806.7515240000002</v>
      </c>
      <c r="E49" s="14">
        <f ca="1">OFFSET($U$28,0,-(ROWS($I$30:I48)-1),1,1)</f>
        <v>0.5821957719860108</v>
      </c>
      <c r="F49" s="17">
        <f t="shared" ca="1" si="23"/>
        <v>3449.494493732157</v>
      </c>
      <c r="G49" s="17">
        <f t="shared" ca="1" si="24"/>
        <v>8256.2460177321573</v>
      </c>
      <c r="H49" s="14">
        <f t="shared" ca="1" si="25"/>
        <v>0.39519906500545415</v>
      </c>
      <c r="I49" s="14">
        <f t="array" aca="1" ref="I49" ca="1">SUM($D$31:$D$50*$O$31^ABS(A49-$A$31:$A$50))/SUM($C$31:$C$50*$E$31:$E$50*$O$31^ABS(A49-$A$31:$A$50))</f>
        <v>0.38882887681627143</v>
      </c>
      <c r="J49" s="19">
        <f t="shared" ca="1" si="26"/>
        <v>3393.8923149104021</v>
      </c>
      <c r="K49" s="13">
        <f t="shared" ca="1" si="27"/>
        <v>8200.6438389104023</v>
      </c>
      <c r="L49" s="14">
        <f t="shared" ca="1" si="28"/>
        <v>0.39253757344676882</v>
      </c>
      <c r="S49" s="49">
        <f t="shared" si="30"/>
        <v>0.49999999999999994</v>
      </c>
      <c r="T49" s="53">
        <v>4333.4111531940234</v>
      </c>
      <c r="U49" s="53">
        <v>-5073.0386084238999</v>
      </c>
      <c r="V49" s="14">
        <v>0.31709237223943587</v>
      </c>
      <c r="W49" s="14">
        <v>0.28604664948470376</v>
      </c>
      <c r="X49" s="14">
        <v>0.29888715716080488</v>
      </c>
      <c r="Y49" s="14">
        <v>0.30342489344865514</v>
      </c>
      <c r="Z49" s="14">
        <v>0.34431012773430791</v>
      </c>
      <c r="AA49" s="14">
        <v>0.38065096663380599</v>
      </c>
      <c r="AB49" s="14">
        <v>0.45893391137568013</v>
      </c>
      <c r="AC49" s="14">
        <v>0.50206639032636946</v>
      </c>
      <c r="AD49" s="14">
        <v>0.42860132947707141</v>
      </c>
      <c r="AE49" s="14">
        <v>0.4468866487643513</v>
      </c>
      <c r="AF49" s="14">
        <v>0.47213289643900841</v>
      </c>
      <c r="AG49" s="14">
        <v>0.44923679713338921</v>
      </c>
      <c r="AH49" s="14">
        <v>0.45568794874570834</v>
      </c>
      <c r="AI49" s="14">
        <v>0.51445126543848352</v>
      </c>
      <c r="AJ49" s="14">
        <v>0.43885626110632886</v>
      </c>
      <c r="AK49" s="14">
        <v>0.44264242290822831</v>
      </c>
      <c r="AL49" s="14">
        <v>0.42767459771170152</v>
      </c>
      <c r="AM49" s="14">
        <v>0.4699989082356163</v>
      </c>
      <c r="AN49" s="14">
        <v>0.42463001806323109</v>
      </c>
      <c r="AO49" s="14">
        <v>0.38643987026505988</v>
      </c>
      <c r="AP49" s="52">
        <v>6.7451933394966444E-3</v>
      </c>
      <c r="AR49" s="10">
        <f ca="1">I49</f>
        <v>0.38882887681627143</v>
      </c>
      <c r="AS49">
        <v>0.43207007662325853</v>
      </c>
    </row>
    <row r="50" spans="1:45" ht="15.75" thickBot="1" x14ac:dyDescent="0.3">
      <c r="A50" s="11">
        <f t="shared" si="29"/>
        <v>20</v>
      </c>
      <c r="B50" s="12" t="s">
        <v>26</v>
      </c>
      <c r="C50" s="17">
        <v>23653.9902</v>
      </c>
      <c r="D50" s="21">
        <f ca="1">OFFSET($U$3,(ROWS($U$4:U23)-1),-(ROWS($U$4:U23)-1),1,1)</f>
        <v>1877.010266</v>
      </c>
      <c r="E50" s="22">
        <f ca="1">OFFSET($U$28,0,-(ROWS($I$30:I49)-1),1,1)</f>
        <v>0.32046203297110881</v>
      </c>
      <c r="F50" s="23">
        <f t="shared" ca="1" si="23"/>
        <v>3980.1898790456426</v>
      </c>
      <c r="G50" s="23">
        <f t="shared" ca="1" si="24"/>
        <v>5857.2001450456428</v>
      </c>
      <c r="H50" s="22">
        <f t="shared" ca="1" si="25"/>
        <v>0.24761996160147401</v>
      </c>
      <c r="I50" s="22">
        <f t="array" aca="1" ref="I50" ca="1">SUM($D$31:$D$50*$O$31^ABS(A50-$A$31:$A$50))/SUM($C$31:$C$50*$E$31:$E$50*$O$31^ABS(A50-$A$31:$A$50))</f>
        <v>0.38866796957168626</v>
      </c>
      <c r="J50" s="24">
        <f t="shared" ca="1" si="26"/>
        <v>6247.3651509896563</v>
      </c>
      <c r="K50" s="21">
        <f t="shared" ca="1" si="27"/>
        <v>8124.3754169896565</v>
      </c>
      <c r="L50" s="22">
        <f t="shared" ca="1" si="28"/>
        <v>0.34346743819102693</v>
      </c>
      <c r="S50" s="49">
        <f t="shared" si="30"/>
        <v>0.54999999999999993</v>
      </c>
      <c r="T50" s="53">
        <v>4272.0608864615788</v>
      </c>
      <c r="U50" s="53">
        <v>-4988.6282583551165</v>
      </c>
      <c r="V50" s="14">
        <v>0.31576082157118301</v>
      </c>
      <c r="W50" s="14">
        <v>0.29120222508839383</v>
      </c>
      <c r="X50" s="14">
        <v>0.30277470758172487</v>
      </c>
      <c r="Y50" s="14">
        <v>0.30940891872212123</v>
      </c>
      <c r="Z50" s="14">
        <v>0.3461597420391983</v>
      </c>
      <c r="AA50" s="14">
        <v>0.38065927493355761</v>
      </c>
      <c r="AB50" s="14">
        <v>0.44697685327349784</v>
      </c>
      <c r="AC50" s="14">
        <v>0.4838953965078665</v>
      </c>
      <c r="AD50" s="14">
        <v>0.43175622148827209</v>
      </c>
      <c r="AE50" s="14">
        <v>0.44691519738777613</v>
      </c>
      <c r="AF50" s="14">
        <v>0.46732934346723937</v>
      </c>
      <c r="AG50" s="14">
        <v>0.45112600044361334</v>
      </c>
      <c r="AH50" s="14">
        <v>0.45691370857847541</v>
      </c>
      <c r="AI50" s="14">
        <v>0.50173804090401652</v>
      </c>
      <c r="AJ50" s="14">
        <v>0.4425877570487643</v>
      </c>
      <c r="AK50" s="14">
        <v>0.44375092845010006</v>
      </c>
      <c r="AL50" s="14">
        <v>0.43122218348151226</v>
      </c>
      <c r="AM50" s="14">
        <v>0.46349225425670065</v>
      </c>
      <c r="AN50" s="14">
        <v>0.42608881830448936</v>
      </c>
      <c r="AO50" s="14">
        <v>0.39385181750879356</v>
      </c>
      <c r="AP50" s="52">
        <v>5.9623704889677802E-3</v>
      </c>
      <c r="AR50" s="10">
        <f ca="1">I50</f>
        <v>0.38866796957168626</v>
      </c>
      <c r="AS50">
        <v>0.4242698578608744</v>
      </c>
    </row>
    <row r="51" spans="1:45" ht="15.75" thickBot="1" x14ac:dyDescent="0.3">
      <c r="B51" s="27" t="s">
        <v>42</v>
      </c>
      <c r="C51" s="28">
        <f>SUM(C31:C50)</f>
        <v>375363.76399999997</v>
      </c>
      <c r="D51" s="28">
        <f ca="1">SUM(D31:D50)</f>
        <v>125244.49439599998</v>
      </c>
      <c r="E51" s="29"/>
      <c r="F51" s="28">
        <f ca="1">SUM(F31:F50)</f>
        <v>18013.362509435377</v>
      </c>
      <c r="G51" s="30">
        <f ca="1">SUM(G31:G50)</f>
        <v>143257.85690543539</v>
      </c>
      <c r="H51" s="31">
        <f ca="1">G51/C51</f>
        <v>0.3816507362853368</v>
      </c>
      <c r="I51" s="29"/>
      <c r="J51" s="30">
        <f ca="1">SUM(J31:J50)</f>
        <v>18903.808286052707</v>
      </c>
      <c r="K51" s="30">
        <f ca="1">SUM(K31:K50)</f>
        <v>144148.30268205272</v>
      </c>
      <c r="L51" s="32">
        <f ca="1">K51/C51</f>
        <v>0.38402295721345314</v>
      </c>
      <c r="S51" s="49">
        <f t="shared" si="30"/>
        <v>0.6</v>
      </c>
      <c r="T51" s="53">
        <v>4212.5466015132115</v>
      </c>
      <c r="U51" s="53">
        <v>-4905.3653085302021</v>
      </c>
      <c r="V51" s="14">
        <v>0.31573271095169092</v>
      </c>
      <c r="W51" s="14">
        <v>0.29697917461086837</v>
      </c>
      <c r="X51" s="14">
        <v>0.30759779271479487</v>
      </c>
      <c r="Y51" s="14">
        <v>0.31576236400805641</v>
      </c>
      <c r="Z51" s="14">
        <v>0.34850773659047951</v>
      </c>
      <c r="AA51" s="14">
        <v>0.38043428399487406</v>
      </c>
      <c r="AB51" s="14">
        <v>0.43583824694546708</v>
      </c>
      <c r="AC51" s="14">
        <v>0.46725205906896827</v>
      </c>
      <c r="AD51" s="14">
        <v>0.43227201511645702</v>
      </c>
      <c r="AE51" s="14">
        <v>0.44543421116027732</v>
      </c>
      <c r="AF51" s="14">
        <v>0.46219298592847752</v>
      </c>
      <c r="AG51" s="14">
        <v>0.45159072899768998</v>
      </c>
      <c r="AH51" s="14">
        <v>0.45679425271122392</v>
      </c>
      <c r="AI51" s="14">
        <v>0.49038749253505171</v>
      </c>
      <c r="AJ51" s="14">
        <v>0.44513562149525604</v>
      </c>
      <c r="AK51" s="14">
        <v>0.44463492137981331</v>
      </c>
      <c r="AL51" s="14">
        <v>0.43415783133577501</v>
      </c>
      <c r="AM51" s="14">
        <v>0.45806548007650205</v>
      </c>
      <c r="AN51" s="14">
        <v>0.42765493979588493</v>
      </c>
      <c r="AO51" s="14">
        <v>0.40108398307317411</v>
      </c>
      <c r="AP51" s="52">
        <v>5.2867817595398129E-3</v>
      </c>
    </row>
    <row r="52" spans="1:45" x14ac:dyDescent="0.25">
      <c r="S52" s="49">
        <f t="shared" si="30"/>
        <v>0.65</v>
      </c>
      <c r="T52" s="53">
        <v>4155.0242340433888</v>
      </c>
      <c r="U52" s="53">
        <v>-4822.52683631324</v>
      </c>
      <c r="V52" s="14">
        <v>0.31730556209806471</v>
      </c>
      <c r="W52" s="14">
        <v>0.30365141372893673</v>
      </c>
      <c r="X52" s="14">
        <v>0.31348739953086902</v>
      </c>
      <c r="Y52" s="14">
        <v>0.32263113248878389</v>
      </c>
      <c r="Z52" s="14">
        <v>0.35143440693643352</v>
      </c>
      <c r="AA52" s="14">
        <v>0.38021643852663911</v>
      </c>
      <c r="AB52" s="14">
        <v>0.42573753066863324</v>
      </c>
      <c r="AC52" s="14">
        <v>0.4522131633260143</v>
      </c>
      <c r="AD52" s="14">
        <v>0.43055476379186558</v>
      </c>
      <c r="AE52" s="14">
        <v>0.4423662723378225</v>
      </c>
      <c r="AF52" s="14">
        <v>0.45637364369756267</v>
      </c>
      <c r="AG52" s="14">
        <v>0.45038099768600892</v>
      </c>
      <c r="AH52" s="14">
        <v>0.45518601275740245</v>
      </c>
      <c r="AI52" s="14">
        <v>0.47995444868060744</v>
      </c>
      <c r="AJ52" s="14">
        <v>0.44641637794005334</v>
      </c>
      <c r="AK52" s="14">
        <v>0.44506473367672883</v>
      </c>
      <c r="AL52" s="14">
        <v>0.43644852863933248</v>
      </c>
      <c r="AM52" s="14">
        <v>0.45354994996526649</v>
      </c>
      <c r="AN52" s="14">
        <v>0.42933540586466601</v>
      </c>
      <c r="AO52" s="14">
        <v>0.40808442085125096</v>
      </c>
      <c r="AP52" s="52">
        <v>4.7124417477656388E-3</v>
      </c>
    </row>
    <row r="53" spans="1:45" x14ac:dyDescent="0.25">
      <c r="B53" s="16" t="str">
        <f>B30</f>
        <v>Row Labels</v>
      </c>
      <c r="C53" s="16" t="s">
        <v>43</v>
      </c>
      <c r="D53" s="16" t="s">
        <v>44</v>
      </c>
      <c r="E53" s="16" t="s">
        <v>46</v>
      </c>
      <c r="F53" s="16" t="s">
        <v>47</v>
      </c>
      <c r="G53" s="41" t="str">
        <f>E30</f>
        <v>% to Ult</v>
      </c>
      <c r="H53" s="16" t="s">
        <v>48</v>
      </c>
      <c r="I53" s="16" t="s">
        <v>49</v>
      </c>
      <c r="J53" s="16" t="s">
        <v>50</v>
      </c>
      <c r="K53" s="18" t="s">
        <v>51</v>
      </c>
      <c r="L53" s="16" t="s">
        <v>52</v>
      </c>
      <c r="M53" s="16" t="s">
        <v>54</v>
      </c>
      <c r="N53" s="16" t="s">
        <v>53</v>
      </c>
      <c r="O53" s="16" t="s">
        <v>55</v>
      </c>
      <c r="S53" s="49">
        <f t="shared" si="30"/>
        <v>0.70000000000000007</v>
      </c>
      <c r="T53" s="53">
        <v>4101.5306548079971</v>
      </c>
      <c r="U53" s="53">
        <v>-4741.9231750684567</v>
      </c>
      <c r="V53" s="14">
        <v>0.32084903565631595</v>
      </c>
      <c r="W53" s="14">
        <v>0.31155497459250825</v>
      </c>
      <c r="X53" s="14">
        <v>0.3206408161215018</v>
      </c>
      <c r="Y53" s="14">
        <v>0.33020489271995085</v>
      </c>
      <c r="Z53" s="14">
        <v>0.35506580761328005</v>
      </c>
      <c r="AA53" s="14">
        <v>0.38026301918838218</v>
      </c>
      <c r="AB53" s="14">
        <v>0.41688774328450917</v>
      </c>
      <c r="AC53" s="14">
        <v>0.43887228040323512</v>
      </c>
      <c r="AD53" s="14">
        <v>0.42708248961716327</v>
      </c>
      <c r="AE53" s="14">
        <v>0.4377884988578194</v>
      </c>
      <c r="AF53" s="14">
        <v>0.44964447085550457</v>
      </c>
      <c r="AG53" s="14">
        <v>0.44729800701733852</v>
      </c>
      <c r="AH53" s="14">
        <v>0.45189343102130913</v>
      </c>
      <c r="AI53" s="14">
        <v>0.46992725539042501</v>
      </c>
      <c r="AJ53" s="14">
        <v>0.44620549368763568</v>
      </c>
      <c r="AK53" s="14">
        <v>0.4446965874817374</v>
      </c>
      <c r="AL53" s="14">
        <v>0.43790267384536868</v>
      </c>
      <c r="AM53" s="14">
        <v>0.44964743793686429</v>
      </c>
      <c r="AN53" s="14">
        <v>0.43098960380948936</v>
      </c>
      <c r="AO53" s="14">
        <v>0.41467475359132977</v>
      </c>
      <c r="AP53" s="52">
        <v>4.2379529667246106E-3</v>
      </c>
    </row>
    <row r="54" spans="1:45" x14ac:dyDescent="0.25">
      <c r="B54" s="12" t="str">
        <f t="shared" ref="B54:B72" si="31">B31</f>
        <v>201003</v>
      </c>
      <c r="C54" s="34"/>
      <c r="D54" s="34">
        <f ca="1">cas_lower!D28-cas_lower!C28</f>
        <v>105.89622400000007</v>
      </c>
      <c r="E54" s="34">
        <f ca="1">D54-C54</f>
        <v>105.89622400000007</v>
      </c>
      <c r="F54" s="34">
        <f ca="1">cas_lower!D28</f>
        <v>9455.5829360000007</v>
      </c>
      <c r="G54" s="14">
        <v>1</v>
      </c>
      <c r="H54" s="42">
        <f t="array" aca="1" ref="H54" ca="1">SUM($F$54:$F$73*$O$31^ABS(A31-$A$31:$A$50))/SUM($C$31:$C$50*$G$54:$G$73*$O$31^ABS(A31-$A$31:$A$50))</f>
        <v>0.38990959778541995</v>
      </c>
      <c r="I54" s="43">
        <f ca="1">(1-G54)*H54*C31</f>
        <v>0</v>
      </c>
      <c r="J54" s="43">
        <f ca="1">I54+F54</f>
        <v>9455.5829360000007</v>
      </c>
      <c r="K54" s="14">
        <f ca="1">J54/C31</f>
        <v>0.36751767172944849</v>
      </c>
      <c r="L54" s="43">
        <f ca="1">K31-J54</f>
        <v>-105.89622400000007</v>
      </c>
      <c r="M54" s="43">
        <f ca="1">(1-G54)*I31*C31</f>
        <v>0</v>
      </c>
      <c r="N54" s="43">
        <f ca="1">I54-M54</f>
        <v>0</v>
      </c>
      <c r="O54" s="43">
        <f ca="1">-(N54+E54)</f>
        <v>-105.89622400000007</v>
      </c>
      <c r="S54" s="49">
        <f t="shared" si="30"/>
        <v>0.75000000000000011</v>
      </c>
      <c r="T54" s="53">
        <v>4057.7109858769918</v>
      </c>
      <c r="U54" s="53">
        <v>-4669.7635698263966</v>
      </c>
      <c r="V54" s="14">
        <v>0.32681032139818905</v>
      </c>
      <c r="W54" s="14">
        <v>0.32109277873862085</v>
      </c>
      <c r="X54" s="14">
        <v>0.32932040938496288</v>
      </c>
      <c r="Y54" s="14">
        <v>0.33871226902195301</v>
      </c>
      <c r="Z54" s="14">
        <v>0.3595631476318098</v>
      </c>
      <c r="AA54" s="14">
        <v>0.38083379089481895</v>
      </c>
      <c r="AB54" s="14">
        <v>0.40948013062238969</v>
      </c>
      <c r="AC54" s="14">
        <v>0.42731756606766286</v>
      </c>
      <c r="AD54" s="14">
        <v>0.42237556077115485</v>
      </c>
      <c r="AE54" s="14">
        <v>0.43192887241446987</v>
      </c>
      <c r="AF54" s="14">
        <v>0.44194267596836678</v>
      </c>
      <c r="AG54" s="14">
        <v>0.44225889743711871</v>
      </c>
      <c r="AH54" s="14">
        <v>0.44673056431308727</v>
      </c>
      <c r="AI54" s="14">
        <v>0.45975534229630899</v>
      </c>
      <c r="AJ54" s="14">
        <v>0.4441298269281353</v>
      </c>
      <c r="AK54" s="14">
        <v>0.44301536917891648</v>
      </c>
      <c r="AL54" s="14">
        <v>0.43808512229540536</v>
      </c>
      <c r="AM54" s="14">
        <v>0.44582152007783066</v>
      </c>
      <c r="AN54" s="14">
        <v>0.43219212195845919</v>
      </c>
      <c r="AO54" s="14">
        <v>0.42038942650725275</v>
      </c>
      <c r="AP54" s="52">
        <v>3.8653416198921858E-3</v>
      </c>
    </row>
    <row r="55" spans="1:45" x14ac:dyDescent="0.25">
      <c r="B55" s="12" t="str">
        <f t="shared" si="31"/>
        <v>201006</v>
      </c>
      <c r="C55" s="34">
        <f t="shared" ref="C55:C72" ca="1" si="32">C32*I32*(E31-E32)</f>
        <v>-40.693620748790323</v>
      </c>
      <c r="D55" s="34">
        <f ca="1">cas_lower!D29-cas_lower!C29</f>
        <v>40.979710999999952</v>
      </c>
      <c r="E55" s="34">
        <f t="shared" ref="E55:E73" ca="1" si="33">D55-C55</f>
        <v>81.673331748790275</v>
      </c>
      <c r="F55" s="34">
        <f ca="1">cas_lower!D29</f>
        <v>5807.6562590000003</v>
      </c>
      <c r="G55" s="14">
        <f ca="1">E31</f>
        <v>1</v>
      </c>
      <c r="H55" s="42">
        <f t="array" aca="1" ref="H55" ca="1">SUM($F$54:$F$73*$O$31^ABS(A32-$A$31:$A$50))/SUM($C$31:$C$50*$G$54:$G$73*$O$31^ABS(A32-$A$31:$A$50))</f>
        <v>0.38998855244377639</v>
      </c>
      <c r="I55" s="43">
        <f t="shared" ref="I55:I73" ca="1" si="34">(1-G55)*H55*C32</f>
        <v>0</v>
      </c>
      <c r="J55" s="43">
        <f t="shared" ref="J55:J73" ca="1" si="35">I55+F55</f>
        <v>5807.6562590000003</v>
      </c>
      <c r="K55" s="14">
        <f t="shared" ref="K55:K73" ca="1" si="36">J55/C32</f>
        <v>0.22358336708777077</v>
      </c>
      <c r="L55" s="43">
        <f t="shared" ref="L55:L73" ca="1" si="37">K32-J55</f>
        <v>-81.673331748790588</v>
      </c>
      <c r="M55" s="43">
        <f t="shared" ref="M55:M73" ca="1" si="38">(1-G55)*I32*C32</f>
        <v>0</v>
      </c>
      <c r="N55" s="43">
        <f t="shared" ref="N55:N73" ca="1" si="39">I55-M55</f>
        <v>0</v>
      </c>
      <c r="O55" s="43">
        <f t="shared" ref="O55:O73" ca="1" si="40">-(N55+E55)</f>
        <v>-81.673331748790275</v>
      </c>
      <c r="S55" s="49">
        <f t="shared" si="30"/>
        <v>0.80000000000000016</v>
      </c>
      <c r="T55" s="53">
        <v>4034.6377871220211</v>
      </c>
      <c r="U55" s="53">
        <v>-4618.1681336784877</v>
      </c>
      <c r="V55" s="14">
        <v>0.33566776677017346</v>
      </c>
      <c r="W55" s="14">
        <v>0.33268928786193347</v>
      </c>
      <c r="X55" s="14">
        <v>0.33980969816385376</v>
      </c>
      <c r="Y55" s="14">
        <v>0.34838186015796196</v>
      </c>
      <c r="Z55" s="14">
        <v>0.36508935421002259</v>
      </c>
      <c r="AA55" s="14">
        <v>0.38216417764094945</v>
      </c>
      <c r="AB55" s="14">
        <v>0.40366299725446919</v>
      </c>
      <c r="AC55" s="14">
        <v>0.41760756479799038</v>
      </c>
      <c r="AD55" s="14">
        <v>0.41695478805288427</v>
      </c>
      <c r="AE55" s="14">
        <v>0.42513180156861863</v>
      </c>
      <c r="AF55" s="14">
        <v>0.43337712831301017</v>
      </c>
      <c r="AG55" s="14">
        <v>0.43534893558940613</v>
      </c>
      <c r="AH55" s="14">
        <v>0.43960522913347599</v>
      </c>
      <c r="AI55" s="14">
        <v>0.44892408822126517</v>
      </c>
      <c r="AJ55" s="14">
        <v>0.43972320410566862</v>
      </c>
      <c r="AK55" s="14">
        <v>0.43933331163825351</v>
      </c>
      <c r="AL55" s="14">
        <v>0.4362640503439929</v>
      </c>
      <c r="AM55" s="14">
        <v>0.44119308521752215</v>
      </c>
      <c r="AN55" s="14">
        <v>0.43207007662325853</v>
      </c>
      <c r="AO55" s="14">
        <v>0.4242698578608744</v>
      </c>
      <c r="AP55" s="52">
        <v>3.5971674465591326E-3</v>
      </c>
    </row>
    <row r="56" spans="1:45" x14ac:dyDescent="0.25">
      <c r="B56" s="12" t="str">
        <f t="shared" si="31"/>
        <v>201009</v>
      </c>
      <c r="C56" s="34">
        <f t="shared" ca="1" si="32"/>
        <v>-27.997316160391037</v>
      </c>
      <c r="D56" s="34">
        <f ca="1">cas_lower!D30-cas_lower!C30</f>
        <v>1.0230390000006082</v>
      </c>
      <c r="E56" s="34">
        <f t="shared" ca="1" si="33"/>
        <v>29.020355160391645</v>
      </c>
      <c r="F56" s="34">
        <f ca="1">cas_lower!D30</f>
        <v>7821.9049610000002</v>
      </c>
      <c r="G56" s="14">
        <f t="shared" ref="G56:G73" ca="1" si="41">E32</f>
        <v>1.0041467566983007</v>
      </c>
      <c r="H56" s="42">
        <f t="array" aca="1" ref="H56" ca="1">SUM($F$54:$F$73*$O$31^ABS(A33-$A$31:$A$50))/SUM($C$31:$C$50*$G$54:$G$73*$O$31^ABS(A33-$A$31:$A$50))</f>
        <v>0.39064973143018517</v>
      </c>
      <c r="I56" s="43">
        <f t="shared" ca="1" si="34"/>
        <v>-40.424512099861282</v>
      </c>
      <c r="J56" s="43">
        <f t="shared" ca="1" si="35"/>
        <v>7781.480448900139</v>
      </c>
      <c r="K56" s="14">
        <f t="shared" ca="1" si="36"/>
        <v>0.3118268650865943</v>
      </c>
      <c r="L56" s="43">
        <f t="shared" ca="1" si="37"/>
        <v>-27.754687542249485</v>
      </c>
      <c r="M56" s="43">
        <f t="shared" ca="1" si="38"/>
        <v>-39.158844481718695</v>
      </c>
      <c r="N56" s="43">
        <f t="shared" ca="1" si="39"/>
        <v>-1.2656676181425865</v>
      </c>
      <c r="O56" s="43">
        <f t="shared" ca="1" si="40"/>
        <v>-27.754687542249059</v>
      </c>
      <c r="S56" s="49">
        <f t="shared" si="30"/>
        <v>0.8500000000000002</v>
      </c>
      <c r="T56" s="53">
        <v>4048.5094300691567</v>
      </c>
      <c r="U56" s="53">
        <v>-4603.6990663331344</v>
      </c>
      <c r="V56" s="14">
        <v>0.3477523669719349</v>
      </c>
      <c r="W56" s="14">
        <v>0.34662910886694343</v>
      </c>
      <c r="X56" s="14">
        <v>0.35227988886466438</v>
      </c>
      <c r="Y56" s="14">
        <v>0.35934250213336549</v>
      </c>
      <c r="Z56" s="14">
        <v>0.37174023139350931</v>
      </c>
      <c r="AA56" s="14">
        <v>0.3844217545455898</v>
      </c>
      <c r="AB56" s="14">
        <v>0.39951482810418409</v>
      </c>
      <c r="AC56" s="14">
        <v>0.40974855659829901</v>
      </c>
      <c r="AD56" s="14">
        <v>0.41129600003082606</v>
      </c>
      <c r="AE56" s="14">
        <v>0.41780078526413389</v>
      </c>
      <c r="AF56" s="14">
        <v>0.42419723589859198</v>
      </c>
      <c r="AG56" s="14">
        <v>0.42683798648424831</v>
      </c>
      <c r="AH56" s="14">
        <v>0.43060126924000608</v>
      </c>
      <c r="AI56" s="14">
        <v>0.43707374157530615</v>
      </c>
      <c r="AJ56" s="14">
        <v>0.43258118028622417</v>
      </c>
      <c r="AK56" s="14">
        <v>0.43292396758172874</v>
      </c>
      <c r="AL56" s="14">
        <v>0.43150800139868001</v>
      </c>
      <c r="AM56" s="14">
        <v>0.43457648756174805</v>
      </c>
      <c r="AN56" s="14">
        <v>0.42927919520070673</v>
      </c>
      <c r="AO56" s="14">
        <v>0.42480075553493846</v>
      </c>
      <c r="AP56" s="52">
        <v>3.4302401466722327E-3</v>
      </c>
    </row>
    <row r="57" spans="1:45" x14ac:dyDescent="0.25">
      <c r="B57" s="12" t="str">
        <f t="shared" si="31"/>
        <v>201012</v>
      </c>
      <c r="C57" s="34">
        <f t="shared" ca="1" si="32"/>
        <v>12.337479376200829</v>
      </c>
      <c r="D57" s="34">
        <f ca="1">cas_lower!D31-cas_lower!C31</f>
        <v>-129.86790100000053</v>
      </c>
      <c r="E57" s="34">
        <f t="shared" ca="1" si="33"/>
        <v>-142.20538037620136</v>
      </c>
      <c r="F57" s="34">
        <f ca="1">cas_lower!D31</f>
        <v>5920.8183879999997</v>
      </c>
      <c r="G57" s="14">
        <f t="shared" ca="1" si="41"/>
        <v>1.0071115545583791</v>
      </c>
      <c r="H57" s="42">
        <f t="array" aca="1" ref="H57" ca="1">SUM($F$54:$F$73*$O$31^ABS(A34-$A$31:$A$50))/SUM($C$31:$C$50*$G$54:$G$73*$O$31^ABS(A34-$A$31:$A$50))</f>
        <v>0.39155887805253209</v>
      </c>
      <c r="I57" s="43">
        <f t="shared" ca="1" si="34"/>
        <v>-68.16178053849309</v>
      </c>
      <c r="J57" s="43">
        <f t="shared" ca="1" si="35"/>
        <v>5852.6566074615066</v>
      </c>
      <c r="K57" s="14">
        <f t="shared" ca="1" si="36"/>
        <v>0.239096786144815</v>
      </c>
      <c r="L57" s="43">
        <f t="shared" ca="1" si="37"/>
        <v>144.34588312553478</v>
      </c>
      <c r="M57" s="43">
        <f t="shared" ca="1" si="38"/>
        <v>-66.02127778915964</v>
      </c>
      <c r="N57" s="43">
        <f t="shared" ca="1" si="39"/>
        <v>-2.1405027493334501</v>
      </c>
      <c r="O57" s="43">
        <f t="shared" ca="1" si="40"/>
        <v>144.34588312553481</v>
      </c>
      <c r="S57" s="49">
        <f t="shared" si="30"/>
        <v>0.90000000000000024</v>
      </c>
      <c r="T57" s="53">
        <v>4114.692296705678</v>
      </c>
      <c r="U57" s="53">
        <v>-4639.8778449987722</v>
      </c>
      <c r="V57" s="14">
        <v>0.36286332685260708</v>
      </c>
      <c r="W57" s="14">
        <v>0.36272598552801155</v>
      </c>
      <c r="X57" s="14">
        <v>0.36653540205759577</v>
      </c>
      <c r="Y57" s="14">
        <v>0.37145286973465408</v>
      </c>
      <c r="Z57" s="14">
        <v>0.37944001896301416</v>
      </c>
      <c r="AA57" s="14">
        <v>0.38764909046953866</v>
      </c>
      <c r="AB57" s="14">
        <v>0.39701547785511515</v>
      </c>
      <c r="AC57" s="14">
        <v>0.40367785476027651</v>
      </c>
      <c r="AD57" s="14">
        <v>0.40579167038130004</v>
      </c>
      <c r="AE57" s="14">
        <v>0.41033482606252475</v>
      </c>
      <c r="AF57" s="14">
        <v>0.41473303761286612</v>
      </c>
      <c r="AG57" s="14">
        <v>0.4171498822410607</v>
      </c>
      <c r="AH57" s="14">
        <v>0.42002328241345072</v>
      </c>
      <c r="AI57" s="14">
        <v>0.42412480103656491</v>
      </c>
      <c r="AJ57" s="14">
        <v>0.42260030340838889</v>
      </c>
      <c r="AK57" s="14">
        <v>0.42333802936607473</v>
      </c>
      <c r="AL57" s="14">
        <v>0.42306548521580345</v>
      </c>
      <c r="AM57" s="14">
        <v>0.42486543059728438</v>
      </c>
      <c r="AN57" s="14">
        <v>0.42242960950761427</v>
      </c>
      <c r="AO57" s="14">
        <v>0.42037544325971388</v>
      </c>
      <c r="AP57" s="52">
        <v>3.3485658077891715E-3</v>
      </c>
    </row>
    <row r="58" spans="1:45" x14ac:dyDescent="0.25">
      <c r="B58" s="12" t="str">
        <f t="shared" si="31"/>
        <v>201103</v>
      </c>
      <c r="C58" s="34">
        <f t="shared" ca="1" si="32"/>
        <v>311.64936360135931</v>
      </c>
      <c r="D58" s="34">
        <f ca="1">cas_lower!D32-cas_lower!C32</f>
        <v>200.81802100000095</v>
      </c>
      <c r="E58" s="34">
        <f t="shared" ca="1" si="33"/>
        <v>-110.83134260135836</v>
      </c>
      <c r="F58" s="34">
        <f ca="1">cas_lower!D32</f>
        <v>8708.8686620000008</v>
      </c>
      <c r="G58" s="14">
        <f t="shared" ca="1" si="41"/>
        <v>1.0057826093965341</v>
      </c>
      <c r="H58" s="42">
        <f t="array" aca="1" ref="H58" ca="1">SUM($F$54:$F$73*$O$31^ABS(A35-$A$31:$A$50))/SUM($C$31:$C$50*$G$54:$G$73*$O$31^ABS(A35-$A$31:$A$50))</f>
        <v>0.39294834862028533</v>
      </c>
      <c r="I58" s="43">
        <f t="shared" ca="1" si="34"/>
        <v>-54.305904817750665</v>
      </c>
      <c r="J58" s="43">
        <f t="shared" ca="1" si="35"/>
        <v>8654.5627571822497</v>
      </c>
      <c r="K58" s="14">
        <f t="shared" ca="1" si="36"/>
        <v>0.36212407842014011</v>
      </c>
      <c r="L58" s="43">
        <f t="shared" ca="1" si="37"/>
        <v>112.54539589086926</v>
      </c>
      <c r="M58" s="43">
        <f t="shared" ca="1" si="38"/>
        <v>-52.591851528240703</v>
      </c>
      <c r="N58" s="43">
        <f t="shared" ca="1" si="39"/>
        <v>-1.7140532895099625</v>
      </c>
      <c r="O58" s="43">
        <f t="shared" ca="1" si="40"/>
        <v>112.54539589086832</v>
      </c>
      <c r="S58" s="49">
        <f>S57+5%</f>
        <v>0.95000000000000029</v>
      </c>
      <c r="T58" s="53">
        <v>4236.4088287428985</v>
      </c>
      <c r="U58" s="53">
        <v>-4726.3551653715167</v>
      </c>
      <c r="V58" s="14">
        <v>0.37979526186592399</v>
      </c>
      <c r="W58" s="14">
        <v>0.37992904324867521</v>
      </c>
      <c r="X58" s="14">
        <v>0.38172142221926697</v>
      </c>
      <c r="Y58" s="14">
        <v>0.38412094743090963</v>
      </c>
      <c r="Z58" s="14">
        <v>0.38783692988165536</v>
      </c>
      <c r="AA58" s="14">
        <v>0.39171099869819559</v>
      </c>
      <c r="AB58" s="14">
        <v>0.39602455858166896</v>
      </c>
      <c r="AC58" s="14">
        <v>0.39925730494405481</v>
      </c>
      <c r="AD58" s="14">
        <v>0.40072785856363663</v>
      </c>
      <c r="AE58" s="14">
        <v>0.40307609082749646</v>
      </c>
      <c r="AF58" s="14">
        <v>0.40532722190369253</v>
      </c>
      <c r="AG58" s="14">
        <v>0.4067933979790358</v>
      </c>
      <c r="AH58" s="14">
        <v>0.40837601470357376</v>
      </c>
      <c r="AI58" s="14">
        <v>0.41034182801706037</v>
      </c>
      <c r="AJ58" s="14">
        <v>0.41018882731529144</v>
      </c>
      <c r="AK58" s="14">
        <v>0.41078581918306872</v>
      </c>
      <c r="AL58" s="14">
        <v>0.41095173677861252</v>
      </c>
      <c r="AM58" s="14">
        <v>0.41176325332972469</v>
      </c>
      <c r="AN58" s="14">
        <v>0.41104205880480582</v>
      </c>
      <c r="AO58" s="14">
        <v>0.41042175903613576</v>
      </c>
      <c r="AP58" s="52">
        <v>3.3247638357917046E-3</v>
      </c>
    </row>
    <row r="59" spans="1:45" x14ac:dyDescent="0.25">
      <c r="B59" s="12" t="str">
        <f t="shared" si="31"/>
        <v>201106</v>
      </c>
      <c r="C59" s="34">
        <f t="shared" ca="1" si="32"/>
        <v>60.60272156678915</v>
      </c>
      <c r="D59" s="34">
        <f ca="1">cas_lower!D33-cas_lower!C33</f>
        <v>69.589942999999948</v>
      </c>
      <c r="E59" s="34">
        <f t="shared" ca="1" si="33"/>
        <v>8.9872214332107987</v>
      </c>
      <c r="F59" s="34">
        <f ca="1">cas_lower!D33</f>
        <v>7050.8121199999996</v>
      </c>
      <c r="G59" s="14">
        <f t="shared" ca="1" si="41"/>
        <v>0.97151595998189288</v>
      </c>
      <c r="H59" s="42">
        <f t="array" aca="1" ref="H59" ca="1">SUM($F$54:$F$73*$O$31^ABS(A36-$A$31:$A$50))/SUM($C$31:$C$50*$G$54:$G$73*$O$31^ABS(A36-$A$31:$A$50))</f>
        <v>0.3944192684373134</v>
      </c>
      <c r="I59" s="43">
        <f t="shared" ca="1" si="34"/>
        <v>244.13184724322676</v>
      </c>
      <c r="J59" s="43">
        <f t="shared" ca="1" si="35"/>
        <v>7294.9439672432263</v>
      </c>
      <c r="K59" s="14">
        <f t="shared" ca="1" si="36"/>
        <v>0.33570455471530775</v>
      </c>
      <c r="L59" s="43">
        <f t="shared" ca="1" si="37"/>
        <v>-16.760787627901664</v>
      </c>
      <c r="M59" s="43">
        <f t="shared" ca="1" si="38"/>
        <v>236.35828104853613</v>
      </c>
      <c r="N59" s="43">
        <f t="shared" ca="1" si="39"/>
        <v>7.7735661946906305</v>
      </c>
      <c r="O59" s="43">
        <f t="shared" ca="1" si="40"/>
        <v>-16.760787627901429</v>
      </c>
      <c r="S59" s="49">
        <f t="shared" si="30"/>
        <v>1.0000000000000002</v>
      </c>
      <c r="T59" s="53">
        <v>4397.9670688412971</v>
      </c>
      <c r="U59" s="53">
        <v>-4845.7818689633295</v>
      </c>
      <c r="V59" s="14">
        <v>0.39627951295395819</v>
      </c>
      <c r="W59" s="14">
        <v>0.39627951295395836</v>
      </c>
      <c r="X59" s="14">
        <v>0.39627951295395836</v>
      </c>
      <c r="Y59" s="14">
        <v>0.39627951295395819</v>
      </c>
      <c r="Z59" s="14">
        <v>0.39627951295395819</v>
      </c>
      <c r="AA59" s="14">
        <v>0.39627951295395808</v>
      </c>
      <c r="AB59" s="14">
        <v>0.39627951295395802</v>
      </c>
      <c r="AC59" s="14">
        <v>0.39627951295395814</v>
      </c>
      <c r="AD59" s="14">
        <v>0.39627951295395825</v>
      </c>
      <c r="AE59" s="14">
        <v>0.3962795129539583</v>
      </c>
      <c r="AF59" s="14">
        <v>0.39627951295395825</v>
      </c>
      <c r="AG59" s="14">
        <v>0.3962795129539583</v>
      </c>
      <c r="AH59" s="14">
        <v>0.39627951295395814</v>
      </c>
      <c r="AI59" s="14">
        <v>0.39627951295395802</v>
      </c>
      <c r="AJ59" s="14">
        <v>0.39627951295395802</v>
      </c>
      <c r="AK59" s="14">
        <v>0.39627951295395802</v>
      </c>
      <c r="AL59" s="14">
        <v>0.39627951295395808</v>
      </c>
      <c r="AM59" s="14">
        <v>0.39627951295395808</v>
      </c>
      <c r="AN59" s="14">
        <v>0.39627951295395808</v>
      </c>
      <c r="AO59" s="14">
        <v>0.39627951295395808</v>
      </c>
      <c r="AP59" s="52">
        <v>3.333135937641622E-3</v>
      </c>
    </row>
    <row r="60" spans="1:45" x14ac:dyDescent="0.25">
      <c r="B60" s="12" t="str">
        <f t="shared" si="31"/>
        <v>201109</v>
      </c>
      <c r="C60" s="34">
        <f t="shared" ca="1" si="32"/>
        <v>-95.309271774563499</v>
      </c>
      <c r="D60" s="34">
        <f ca="1">cas_lower!D34-cas_lower!C34</f>
        <v>1056.9742800000004</v>
      </c>
      <c r="E60" s="34">
        <f t="shared" ca="1" si="33"/>
        <v>1152.2835517745639</v>
      </c>
      <c r="F60" s="34">
        <f ca="1">cas_lower!D34</f>
        <v>8560.5976740000006</v>
      </c>
      <c r="G60" s="14">
        <f t="shared" ca="1" si="41"/>
        <v>0.96421259688982441</v>
      </c>
      <c r="H60" s="42">
        <f t="array" aca="1" ref="H60" ca="1">SUM($F$54:$F$73*$O$31^ABS(A37-$A$31:$A$50))/SUM($C$31:$C$50*$G$54:$G$73*$O$31^ABS(A37-$A$31:$A$50))</f>
        <v>0.39604931869387144</v>
      </c>
      <c r="I60" s="43">
        <f t="shared" ca="1" si="34"/>
        <v>215.88852024619533</v>
      </c>
      <c r="J60" s="43">
        <f t="shared" ca="1" si="35"/>
        <v>8776.4861942461957</v>
      </c>
      <c r="K60" s="14">
        <f t="shared" ca="1" si="36"/>
        <v>0.57619645261000074</v>
      </c>
      <c r="L60" s="43">
        <f t="shared" ca="1" si="37"/>
        <v>-1159.2290795687832</v>
      </c>
      <c r="M60" s="43">
        <f t="shared" ca="1" si="38"/>
        <v>208.94299245197587</v>
      </c>
      <c r="N60" s="43">
        <f t="shared" ca="1" si="39"/>
        <v>6.9455277942194584</v>
      </c>
      <c r="O60" s="43">
        <f t="shared" ca="1" si="40"/>
        <v>-1159.2290795687834</v>
      </c>
    </row>
    <row r="61" spans="1:45" x14ac:dyDescent="0.25">
      <c r="B61" s="12" t="str">
        <f t="shared" si="31"/>
        <v>201112</v>
      </c>
      <c r="C61" s="34">
        <f t="shared" ca="1" si="32"/>
        <v>-83.202193752508691</v>
      </c>
      <c r="D61" s="34">
        <f ca="1">cas_lower!D35-cas_lower!C35</f>
        <v>562.82290699999976</v>
      </c>
      <c r="E61" s="34">
        <f t="shared" ca="1" si="33"/>
        <v>646.02510075250848</v>
      </c>
      <c r="F61" s="34">
        <f ca="1">cas_lower!D35</f>
        <v>9206.9378130000005</v>
      </c>
      <c r="G61" s="14">
        <f t="shared" ca="1" si="41"/>
        <v>0.98053700810412991</v>
      </c>
      <c r="H61" s="42">
        <f t="array" aca="1" ref="H61" ca="1">SUM($F$54:$F$73*$O$31^ABS(A38-$A$31:$A$50))/SUM($C$31:$C$50*$G$54:$G$73*$O$31^ABS(A38-$A$31:$A$50))</f>
        <v>0.39731317292936974</v>
      </c>
      <c r="I61" s="43">
        <f t="shared" ca="1" si="34"/>
        <v>92.717663952154481</v>
      </c>
      <c r="J61" s="43">
        <f t="shared" ca="1" si="35"/>
        <v>9299.6554769521554</v>
      </c>
      <c r="K61" s="14">
        <f t="shared" ca="1" si="36"/>
        <v>0.77561633106774541</v>
      </c>
      <c r="L61" s="43">
        <f t="shared" ca="1" si="37"/>
        <v>-649.01300360104869</v>
      </c>
      <c r="M61" s="43">
        <f t="shared" ca="1" si="38"/>
        <v>89.729761103614777</v>
      </c>
      <c r="N61" s="43">
        <f t="shared" ca="1" si="39"/>
        <v>2.9879028485397043</v>
      </c>
      <c r="O61" s="43">
        <f t="shared" ca="1" si="40"/>
        <v>-649.01300360104824</v>
      </c>
    </row>
    <row r="62" spans="1:45" x14ac:dyDescent="0.25">
      <c r="B62" s="12" t="str">
        <f t="shared" si="31"/>
        <v>201203</v>
      </c>
      <c r="C62" s="34">
        <f t="shared" ca="1" si="32"/>
        <v>218.44233815274401</v>
      </c>
      <c r="D62" s="34">
        <f ca="1">cas_lower!D36-cas_lower!C36</f>
        <v>421.70157100000006</v>
      </c>
      <c r="E62" s="34">
        <f t="shared" ca="1" si="33"/>
        <v>203.25923284725604</v>
      </c>
      <c r="F62" s="34">
        <f ca="1">cas_lower!D36</f>
        <v>2504.5055510000002</v>
      </c>
      <c r="G62" s="14">
        <f t="shared" ca="1" si="41"/>
        <v>0.99858412650505535</v>
      </c>
      <c r="H62" s="42">
        <f t="array" aca="1" ref="H62" ca="1">SUM($F$54:$F$73*$O$31^ABS(A39-$A$31:$A$50))/SUM($C$31:$C$50*$G$54:$G$73*$O$31^ABS(A39-$A$31:$A$50))</f>
        <v>0.39797817076410424</v>
      </c>
      <c r="I62" s="43">
        <f t="shared" ca="1" si="34"/>
        <v>6.6103419894435298</v>
      </c>
      <c r="J62" s="43">
        <f t="shared" ca="1" si="35"/>
        <v>2511.1158929894436</v>
      </c>
      <c r="K62" s="14">
        <f t="shared" ca="1" si="36"/>
        <v>0.21405556920967014</v>
      </c>
      <c r="L62" s="43">
        <f t="shared" ca="1" si="37"/>
        <v>-203.47216779102109</v>
      </c>
      <c r="M62" s="43">
        <f t="shared" ca="1" si="38"/>
        <v>6.3974070456781638</v>
      </c>
      <c r="N62" s="43">
        <f t="shared" ca="1" si="39"/>
        <v>0.21293494376536604</v>
      </c>
      <c r="O62" s="43">
        <f t="shared" ca="1" si="40"/>
        <v>-203.47216779102141</v>
      </c>
    </row>
    <row r="63" spans="1:45" x14ac:dyDescent="0.25">
      <c r="B63" s="12" t="str">
        <f t="shared" si="31"/>
        <v>201206</v>
      </c>
      <c r="C63" s="34">
        <f t="shared" ca="1" si="32"/>
        <v>121.63458647492277</v>
      </c>
      <c r="D63" s="34">
        <f ca="1">cas_lower!D37-cas_lower!C37</f>
        <v>118.91672699999981</v>
      </c>
      <c r="E63" s="34">
        <f t="shared" ca="1" si="33"/>
        <v>-2.7178594749229603</v>
      </c>
      <c r="F63" s="34">
        <f ca="1">cas_lower!D37</f>
        <v>4719.5838999999996</v>
      </c>
      <c r="G63" s="14">
        <f t="shared" ca="1" si="41"/>
        <v>0.95023848981883741</v>
      </c>
      <c r="H63" s="42">
        <f t="array" aca="1" ref="H63" ca="1">SUM($F$54:$F$73*$O$31^ABS(A40-$A$31:$A$50))/SUM($C$31:$C$50*$G$54:$G$73*$O$31^ABS(A40-$A$31:$A$50))</f>
        <v>0.39893035680018374</v>
      </c>
      <c r="I63" s="43">
        <f t="shared" ca="1" si="34"/>
        <v>228.3478130544008</v>
      </c>
      <c r="J63" s="43">
        <f t="shared" ca="1" si="35"/>
        <v>4947.9317130544005</v>
      </c>
      <c r="K63" s="14">
        <f t="shared" ca="1" si="36"/>
        <v>0.43014757421625088</v>
      </c>
      <c r="L63" s="43">
        <f t="shared" ca="1" si="37"/>
        <v>-4.6180788443889469</v>
      </c>
      <c r="M63" s="43">
        <f t="shared" ca="1" si="38"/>
        <v>221.0118747350885</v>
      </c>
      <c r="N63" s="43">
        <f t="shared" ca="1" si="39"/>
        <v>7.3359383193123051</v>
      </c>
      <c r="O63" s="43">
        <f t="shared" ca="1" si="40"/>
        <v>-4.6180788443893448</v>
      </c>
    </row>
    <row r="64" spans="1:45" x14ac:dyDescent="0.25">
      <c r="B64" s="12" t="str">
        <f t="shared" si="31"/>
        <v>201209</v>
      </c>
      <c r="C64" s="34">
        <f t="shared" ca="1" si="32"/>
        <v>144.0166770094342</v>
      </c>
      <c r="D64" s="34">
        <f ca="1">cas_lower!D38-cas_lower!C38</f>
        <v>198.9928259999997</v>
      </c>
      <c r="E64" s="34">
        <f t="shared" ca="1" si="33"/>
        <v>54.976148990565491</v>
      </c>
      <c r="F64" s="34">
        <f ca="1">cas_lower!D38</f>
        <v>7024.7013589999997</v>
      </c>
      <c r="G64" s="14">
        <f t="shared" ca="1" si="41"/>
        <v>0.92285208481001901</v>
      </c>
      <c r="H64" s="42">
        <f t="array" aca="1" ref="H64" ca="1">SUM($F$54:$F$73*$O$31^ABS(A41-$A$31:$A$50))/SUM($C$31:$C$50*$G$54:$G$73*$O$31^ABS(A41-$A$31:$A$50))</f>
        <v>0.39983936707230133</v>
      </c>
      <c r="I64" s="43">
        <f t="shared" ca="1" si="34"/>
        <v>410.77230042515373</v>
      </c>
      <c r="J64" s="43">
        <f t="shared" ca="1" si="35"/>
        <v>7435.4736594251535</v>
      </c>
      <c r="K64" s="14">
        <f t="shared" ca="1" si="36"/>
        <v>0.55836377525636527</v>
      </c>
      <c r="L64" s="43">
        <f t="shared" ca="1" si="37"/>
        <v>-68.159605884593475</v>
      </c>
      <c r="M64" s="43">
        <f t="shared" ca="1" si="38"/>
        <v>397.58884353112632</v>
      </c>
      <c r="N64" s="43">
        <f t="shared" ca="1" si="39"/>
        <v>13.183456894027415</v>
      </c>
      <c r="O64" s="43">
        <f t="shared" ca="1" si="40"/>
        <v>-68.159605884592906</v>
      </c>
    </row>
    <row r="65" spans="2:40" x14ac:dyDescent="0.25">
      <c r="B65" s="12" t="str">
        <f t="shared" si="31"/>
        <v>201212</v>
      </c>
      <c r="C65" s="34">
        <f t="shared" ca="1" si="32"/>
        <v>-36.030892067684384</v>
      </c>
      <c r="D65" s="34">
        <f ca="1">cas_lower!D39-cas_lower!C39</f>
        <v>-123.4855290000005</v>
      </c>
      <c r="E65" s="34">
        <f t="shared" ca="1" si="33"/>
        <v>-87.454636932316106</v>
      </c>
      <c r="F65" s="34">
        <f ca="1">cas_lower!D39</f>
        <v>4983.9001289999997</v>
      </c>
      <c r="G65" s="14">
        <f t="shared" ca="1" si="41"/>
        <v>0.8949071699447283</v>
      </c>
      <c r="H65" s="42">
        <f t="array" aca="1" ref="H65" ca="1">SUM($F$54:$F$73*$O$31^ABS(A42-$A$31:$A$50))/SUM($C$31:$C$50*$G$54:$G$73*$O$31^ABS(A42-$A$31:$A$50))</f>
        <v>0.40047343408749403</v>
      </c>
      <c r="I65" s="43">
        <f t="shared" ca="1" si="34"/>
        <v>600.56893689834328</v>
      </c>
      <c r="J65" s="43">
        <f t="shared" ca="1" si="35"/>
        <v>5584.4690658983427</v>
      </c>
      <c r="K65" s="14">
        <f t="shared" ca="1" si="36"/>
        <v>0.3913504371928469</v>
      </c>
      <c r="L65" s="43">
        <f t="shared" ca="1" si="37"/>
        <v>68.148414045939717</v>
      </c>
      <c r="M65" s="43">
        <f t="shared" ca="1" si="38"/>
        <v>581.26271401196664</v>
      </c>
      <c r="N65" s="43">
        <f t="shared" ca="1" si="39"/>
        <v>19.306222886376645</v>
      </c>
      <c r="O65" s="43">
        <f t="shared" ca="1" si="40"/>
        <v>68.148414045939461</v>
      </c>
      <c r="AL65" s="51" t="s">
        <v>46</v>
      </c>
      <c r="AM65" s="51" t="s">
        <v>52</v>
      </c>
      <c r="AN65" s="50" t="s">
        <v>57</v>
      </c>
    </row>
    <row r="66" spans="2:40" x14ac:dyDescent="0.25">
      <c r="B66" s="12" t="str">
        <f t="shared" si="31"/>
        <v>201303</v>
      </c>
      <c r="C66" s="34">
        <f t="shared" ca="1" si="32"/>
        <v>156.37002629795174</v>
      </c>
      <c r="D66" s="34">
        <f ca="1">cas_lower!D40-cas_lower!C40</f>
        <v>-80.448113000000376</v>
      </c>
      <c r="E66" s="34">
        <f t="shared" ca="1" si="33"/>
        <v>-236.81813929795211</v>
      </c>
      <c r="F66" s="34">
        <f ca="1">cas_lower!D40</f>
        <v>4766.701849</v>
      </c>
      <c r="G66" s="14">
        <f t="shared" ca="1" si="41"/>
        <v>0.90142158816824269</v>
      </c>
      <c r="H66" s="42">
        <f t="array" aca="1" ref="H66" ca="1">SUM($F$54:$F$73*$O$31^ABS(A43-$A$31:$A$50))/SUM($C$31:$C$50*$G$54:$G$73*$O$31^ABS(A43-$A$31:$A$50))</f>
        <v>0.40113101070194851</v>
      </c>
      <c r="I66" s="43">
        <f t="shared" ca="1" si="34"/>
        <v>600.77939421200699</v>
      </c>
      <c r="J66" s="43">
        <f t="shared" ca="1" si="35"/>
        <v>5367.481243212007</v>
      </c>
      <c r="K66" s="14">
        <f t="shared" ca="1" si="36"/>
        <v>0.35328366869709932</v>
      </c>
      <c r="L66" s="43">
        <f t="shared" ca="1" si="37"/>
        <v>217.4243433890797</v>
      </c>
      <c r="M66" s="43">
        <f t="shared" ca="1" si="38"/>
        <v>581.3855983031342</v>
      </c>
      <c r="N66" s="43">
        <f t="shared" ca="1" si="39"/>
        <v>19.393795908872789</v>
      </c>
      <c r="O66" s="43">
        <f t="shared" ca="1" si="40"/>
        <v>217.42434338907933</v>
      </c>
      <c r="AK66" s="4">
        <v>1E-4</v>
      </c>
      <c r="AL66" s="53">
        <v>5160.8488283432116</v>
      </c>
      <c r="AM66" s="53">
        <v>-6368.6523338985608</v>
      </c>
      <c r="AN66" s="52">
        <v>2.7504915927204946E-2</v>
      </c>
    </row>
    <row r="67" spans="2:40" x14ac:dyDescent="0.25">
      <c r="B67" s="12" t="str">
        <f t="shared" si="31"/>
        <v>201306</v>
      </c>
      <c r="C67" s="34">
        <f t="shared" ca="1" si="32"/>
        <v>79.903155710543587</v>
      </c>
      <c r="D67" s="34">
        <f ca="1">cas_lower!D41-cas_lower!C41</f>
        <v>488.91991999999846</v>
      </c>
      <c r="E67" s="34">
        <f t="shared" ca="1" si="33"/>
        <v>409.01676428945484</v>
      </c>
      <c r="F67" s="34">
        <f ca="1">cas_lower!D41</f>
        <v>10614.361279999999</v>
      </c>
      <c r="G67" s="14">
        <f t="shared" ca="1" si="41"/>
        <v>0.87490784428546942</v>
      </c>
      <c r="H67" s="42">
        <f t="array" aca="1" ref="H67" ca="1">SUM($F$54:$F$73*$O$31^ABS(A44-$A$31:$A$50))/SUM($C$31:$C$50*$G$54:$G$73*$O$31^ABS(A44-$A$31:$A$50))</f>
        <v>0.40189479920787308</v>
      </c>
      <c r="I67" s="43">
        <f t="shared" ca="1" si="34"/>
        <v>757.9683411341091</v>
      </c>
      <c r="J67" s="43">
        <f t="shared" ca="1" si="35"/>
        <v>11372.329621134108</v>
      </c>
      <c r="K67" s="14">
        <f t="shared" ca="1" si="36"/>
        <v>0.75429431684187509</v>
      </c>
      <c r="L67" s="43">
        <f t="shared" ca="1" si="37"/>
        <v>-433.68150352343582</v>
      </c>
      <c r="M67" s="43">
        <f t="shared" ca="1" si="38"/>
        <v>733.30360190012698</v>
      </c>
      <c r="N67" s="43">
        <f t="shared" ca="1" si="39"/>
        <v>24.664739233982118</v>
      </c>
      <c r="O67" s="43">
        <f t="shared" ca="1" si="40"/>
        <v>-433.68150352343696</v>
      </c>
      <c r="AK67" s="48">
        <v>0.05</v>
      </c>
      <c r="AL67" s="53">
        <v>5062.6542557870207</v>
      </c>
      <c r="AM67" s="53">
        <v>-6194.228839743103</v>
      </c>
      <c r="AN67" s="52">
        <v>2.3493272354011979E-2</v>
      </c>
    </row>
    <row r="68" spans="2:40" x14ac:dyDescent="0.25">
      <c r="B68" s="12" t="str">
        <f t="shared" si="31"/>
        <v>201309</v>
      </c>
      <c r="C68" s="34">
        <f t="shared" ca="1" si="32"/>
        <v>32.479757444080086</v>
      </c>
      <c r="D68" s="34">
        <f ca="1">cas_lower!D42-cas_lower!C42</f>
        <v>127.01966600000014</v>
      </c>
      <c r="E68" s="34">
        <f t="shared" ca="1" si="33"/>
        <v>94.53990855592005</v>
      </c>
      <c r="F68" s="34">
        <f ca="1">cas_lower!D42</f>
        <v>4882.154192</v>
      </c>
      <c r="G68" s="14">
        <f t="shared" ca="1" si="41"/>
        <v>0.86127739440042028</v>
      </c>
      <c r="H68" s="42">
        <f t="array" aca="1" ref="H68" ca="1">SUM($F$54:$F$73*$O$31^ABS(A45-$A$31:$A$50))/SUM($C$31:$C$50*$G$54:$G$73*$O$31^ABS(A45-$A$31:$A$50))</f>
        <v>0.40194753929943294</v>
      </c>
      <c r="I68" s="43">
        <f t="shared" ca="1" si="34"/>
        <v>1048.5229597724774</v>
      </c>
      <c r="J68" s="43">
        <f t="shared" ca="1" si="35"/>
        <v>5930.6771517724774</v>
      </c>
      <c r="K68" s="14">
        <f t="shared" ca="1" si="36"/>
        <v>0.3153863913649938</v>
      </c>
      <c r="L68" s="43">
        <f t="shared" ca="1" si="37"/>
        <v>-128.99051790439989</v>
      </c>
      <c r="M68" s="43">
        <f t="shared" ca="1" si="38"/>
        <v>1014.0723504239977</v>
      </c>
      <c r="N68" s="43">
        <f t="shared" ca="1" si="39"/>
        <v>34.450609348479702</v>
      </c>
      <c r="O68" s="43">
        <f t="shared" ca="1" si="40"/>
        <v>-128.99051790439975</v>
      </c>
      <c r="AK68" s="49">
        <v>0.1</v>
      </c>
      <c r="AL68" s="53">
        <v>4965.1972309942366</v>
      </c>
      <c r="AM68" s="53">
        <v>-6026.1555979583018</v>
      </c>
      <c r="AN68" s="52">
        <v>2.0115953965932156E-2</v>
      </c>
    </row>
    <row r="69" spans="2:40" x14ac:dyDescent="0.25">
      <c r="B69" s="12" t="str">
        <f t="shared" si="31"/>
        <v>201312</v>
      </c>
      <c r="C69" s="34">
        <f t="shared" ca="1" si="32"/>
        <v>146.91022811954963</v>
      </c>
      <c r="D69" s="34">
        <f ca="1">cas_lower!D43-cas_lower!C43</f>
        <v>-62.568172000000231</v>
      </c>
      <c r="E69" s="34">
        <f t="shared" ca="1" si="33"/>
        <v>-209.47840011954986</v>
      </c>
      <c r="F69" s="34">
        <f ca="1">cas_lower!D43</f>
        <v>7356.6312049999997</v>
      </c>
      <c r="G69" s="14">
        <f t="shared" ca="1" si="41"/>
        <v>0.85683424339644976</v>
      </c>
      <c r="H69" s="42">
        <f t="array" aca="1" ref="H69" ca="1">SUM($F$54:$F$73*$O$31^ABS(A46-$A$31:$A$50))/SUM($C$31:$C$50*$G$54:$G$73*$O$31^ABS(A46-$A$31:$A$50))</f>
        <v>0.40222495911593698</v>
      </c>
      <c r="I69" s="43">
        <f t="shared" ca="1" si="34"/>
        <v>1032.4933241731449</v>
      </c>
      <c r="J69" s="43">
        <f t="shared" ca="1" si="35"/>
        <v>8389.1245291731448</v>
      </c>
      <c r="K69" s="14">
        <f t="shared" ca="1" si="36"/>
        <v>0.46788331454334686</v>
      </c>
      <c r="L69" s="43">
        <f t="shared" ca="1" si="37"/>
        <v>175.22358384149811</v>
      </c>
      <c r="M69" s="43">
        <f t="shared" ca="1" si="38"/>
        <v>998.23850789509322</v>
      </c>
      <c r="N69" s="43">
        <f t="shared" ca="1" si="39"/>
        <v>34.254816278051635</v>
      </c>
      <c r="O69" s="43">
        <f t="shared" ca="1" si="40"/>
        <v>175.22358384149823</v>
      </c>
      <c r="AK69" s="49">
        <v>0.15000000000000002</v>
      </c>
      <c r="AL69" s="53">
        <v>4870.3466378937683</v>
      </c>
      <c r="AM69" s="53">
        <v>-5867.8041873242337</v>
      </c>
      <c r="AN69" s="52">
        <v>1.7291771650614136E-2</v>
      </c>
    </row>
    <row r="70" spans="2:40" x14ac:dyDescent="0.25">
      <c r="B70" s="12" t="str">
        <f t="shared" si="31"/>
        <v>201403</v>
      </c>
      <c r="C70" s="34">
        <f t="shared" ca="1" si="32"/>
        <v>248.18383127242217</v>
      </c>
      <c r="D70" s="34">
        <f ca="1">cas_lower!D44-cas_lower!C44</f>
        <v>1046.2439900000004</v>
      </c>
      <c r="E70" s="34">
        <f t="shared" ca="1" si="33"/>
        <v>798.06015872757825</v>
      </c>
      <c r="F70" s="34">
        <f ca="1">cas_lower!D44</f>
        <v>5070.7771160000002</v>
      </c>
      <c r="G70" s="14">
        <f t="shared" ca="1" si="41"/>
        <v>0.83576461545163616</v>
      </c>
      <c r="H70" s="42">
        <f t="array" aca="1" ref="H70" ca="1">SUM($F$54:$F$73*$O$31^ABS(A47-$A$31:$A$50))/SUM($C$31:$C$50*$G$54:$G$73*$O$31^ABS(A47-$A$31:$A$50))</f>
        <v>0.40234486969355437</v>
      </c>
      <c r="I70" s="43">
        <f t="shared" ca="1" si="34"/>
        <v>1243.9230024684841</v>
      </c>
      <c r="J70" s="43">
        <f t="shared" ca="1" si="35"/>
        <v>6314.7001184684841</v>
      </c>
      <c r="K70" s="14">
        <f t="shared" ca="1" si="36"/>
        <v>0.33544740138780377</v>
      </c>
      <c r="L70" s="43">
        <f t="shared" ca="1" si="37"/>
        <v>-839.96321441848795</v>
      </c>
      <c r="M70" s="43">
        <f t="shared" ca="1" si="38"/>
        <v>1202.0199467775738</v>
      </c>
      <c r="N70" s="43">
        <f t="shared" ca="1" si="39"/>
        <v>41.903055690910378</v>
      </c>
      <c r="O70" s="43">
        <f t="shared" ca="1" si="40"/>
        <v>-839.96321441848863</v>
      </c>
      <c r="AK70" s="49">
        <v>0.2</v>
      </c>
      <c r="AL70" s="53">
        <v>4779.3566432508087</v>
      </c>
      <c r="AM70" s="53">
        <v>-5721.0541877766482</v>
      </c>
      <c r="AN70" s="52">
        <v>1.4933318368433014E-2</v>
      </c>
    </row>
    <row r="71" spans="2:40" x14ac:dyDescent="0.25">
      <c r="B71" s="12" t="str">
        <f t="shared" si="31"/>
        <v>201406</v>
      </c>
      <c r="C71" s="34">
        <f t="shared" ca="1" si="32"/>
        <v>345.27471361824576</v>
      </c>
      <c r="D71" s="34">
        <f ca="1">cas_lower!D45-cas_lower!C45</f>
        <v>1878.5796980000005</v>
      </c>
      <c r="E71" s="34">
        <f t="shared" ca="1" si="33"/>
        <v>1533.3049843817548</v>
      </c>
      <c r="F71" s="34">
        <f ca="1">cas_lower!D45</f>
        <v>10026.346020000001</v>
      </c>
      <c r="G71" s="14">
        <f t="shared" ca="1" si="41"/>
        <v>0.80185455674006056</v>
      </c>
      <c r="H71" s="42">
        <f t="array" aca="1" ref="H71" ca="1">SUM($F$54:$F$73*$O$31^ABS(A48-$A$31:$A$50))/SUM($C$31:$C$50*$G$54:$G$73*$O$31^ABS(A48-$A$31:$A$50))</f>
        <v>0.40264556148091601</v>
      </c>
      <c r="I71" s="43">
        <f t="shared" ca="1" si="34"/>
        <v>1610.115418461837</v>
      </c>
      <c r="J71" s="43">
        <f t="shared" ca="1" si="35"/>
        <v>11636.461438461838</v>
      </c>
      <c r="K71" s="14">
        <f t="shared" ca="1" si="36"/>
        <v>0.57659507857965941</v>
      </c>
      <c r="L71" s="43">
        <f t="shared" ca="1" si="37"/>
        <v>-1587.9810722600396</v>
      </c>
      <c r="M71" s="43">
        <f t="shared" ca="1" si="38"/>
        <v>1555.4393305835517</v>
      </c>
      <c r="N71" s="43">
        <f t="shared" ca="1" si="39"/>
        <v>54.676087878285216</v>
      </c>
      <c r="O71" s="43">
        <f t="shared" ca="1" si="40"/>
        <v>-1587.98107226004</v>
      </c>
      <c r="AK71" s="49">
        <v>0.25</v>
      </c>
      <c r="AL71" s="53">
        <v>4693.0527077297884</v>
      </c>
      <c r="AM71" s="53">
        <v>-5586.7377734342272</v>
      </c>
      <c r="AN71" s="52">
        <v>1.295966071182543E-2</v>
      </c>
    </row>
    <row r="72" spans="2:40" x14ac:dyDescent="0.25">
      <c r="B72" s="12" t="str">
        <f t="shared" si="31"/>
        <v>201409</v>
      </c>
      <c r="C72" s="34">
        <f t="shared" ca="1" si="32"/>
        <v>1427.0342330153767</v>
      </c>
      <c r="D72" s="34">
        <f ca="1">cas_lower!D46-cas_lower!C46</f>
        <v>1371.3729469999998</v>
      </c>
      <c r="E72" s="34">
        <f t="shared" ca="1" si="33"/>
        <v>-55.661286015376845</v>
      </c>
      <c r="F72" s="34">
        <f ca="1">cas_lower!D46</f>
        <v>6178.1244710000001</v>
      </c>
      <c r="G72" s="14">
        <f t="shared" ca="1" si="41"/>
        <v>0.75787044895061118</v>
      </c>
      <c r="H72" s="42">
        <f t="array" aca="1" ref="H72" ca="1">SUM($F$54:$F$73*$O$31^ABS(A49-$A$31:$A$50))/SUM($C$31:$C$50*$G$54:$G$73*$O$31^ABS(A49-$A$31:$A$50))</f>
        <v>0.40245225476925722</v>
      </c>
      <c r="I72" s="43">
        <f t="shared" ca="1" si="34"/>
        <v>2035.770790356753</v>
      </c>
      <c r="J72" s="43">
        <f t="shared" ca="1" si="35"/>
        <v>8213.8952613567526</v>
      </c>
      <c r="K72" s="14">
        <f t="shared" ca="1" si="36"/>
        <v>0.39317187501064449</v>
      </c>
      <c r="L72" s="43">
        <f t="shared" ca="1" si="37"/>
        <v>-13.251422446350261</v>
      </c>
      <c r="M72" s="43">
        <f t="shared" ca="1" si="38"/>
        <v>1966.8580818950252</v>
      </c>
      <c r="N72" s="43">
        <f t="shared" ca="1" si="39"/>
        <v>68.912708461727789</v>
      </c>
      <c r="O72" s="43">
        <f t="shared" ca="1" si="40"/>
        <v>-13.251422446350944</v>
      </c>
      <c r="AK72" s="49">
        <v>0.3</v>
      </c>
      <c r="AL72" s="53">
        <v>4611.8411679711016</v>
      </c>
      <c r="AM72" s="53">
        <v>-5464.7504162424075</v>
      </c>
      <c r="AN72" s="52">
        <v>1.1299159043977151E-2</v>
      </c>
    </row>
    <row r="73" spans="2:40" ht="15.75" thickBot="1" x14ac:dyDescent="0.3">
      <c r="B73" s="20" t="str">
        <f>B50</f>
        <v>201412</v>
      </c>
      <c r="C73" s="33">
        <f ca="1">C50*I50*(E49-E50)</f>
        <v>2406.2617827068384</v>
      </c>
      <c r="D73" s="34">
        <f ca="1">cas_lower!D47-cas_lower!C47</f>
        <v>2464.6070069999996</v>
      </c>
      <c r="E73" s="33">
        <f t="shared" ca="1" si="33"/>
        <v>58.345224293161209</v>
      </c>
      <c r="F73" s="34">
        <f ca="1">cas_lower!D47</f>
        <v>4341.6172729999998</v>
      </c>
      <c r="G73" s="22">
        <f t="shared" ca="1" si="41"/>
        <v>0.5821957719860108</v>
      </c>
      <c r="H73" s="44">
        <f t="array" aca="1" ref="H73" ca="1">SUM($F$54:$F$73*$O$31^ABS(A50-$A$31:$A$50))/SUM($C$31:$C$50*$G$54:$G$73*$O$31^ABS(A50-$A$31:$A$50))</f>
        <v>0.4022805019270777</v>
      </c>
      <c r="I73" s="45">
        <f t="shared" ca="1" si="34"/>
        <v>3975.6324470200584</v>
      </c>
      <c r="J73" s="45">
        <f t="shared" ca="1" si="35"/>
        <v>8317.2497200200578</v>
      </c>
      <c r="K73" s="22">
        <f t="shared" ca="1" si="36"/>
        <v>0.35162142411051045</v>
      </c>
      <c r="L73" s="45">
        <f t="shared" ca="1" si="37"/>
        <v>-192.87430303040128</v>
      </c>
      <c r="M73" s="43">
        <f t="shared" ca="1" si="38"/>
        <v>3841.1033682828174</v>
      </c>
      <c r="N73" s="43">
        <f t="shared" ca="1" si="39"/>
        <v>134.52907873724098</v>
      </c>
      <c r="O73" s="43">
        <f t="shared" ca="1" si="40"/>
        <v>-192.87430303040219</v>
      </c>
      <c r="AK73" s="49">
        <v>0.35</v>
      </c>
      <c r="AL73" s="53">
        <v>4535.736991880869</v>
      </c>
      <c r="AM73" s="53">
        <v>-5354.1809922309585</v>
      </c>
      <c r="AN73" s="52">
        <v>9.8911087889577195E-3</v>
      </c>
    </row>
    <row r="74" spans="2:40" ht="15.75" thickBot="1" x14ac:dyDescent="0.3">
      <c r="B74" s="27" t="s">
        <v>42</v>
      </c>
      <c r="C74" s="28">
        <f ca="1">SUM(C54:C73)</f>
        <v>5427.8675998625204</v>
      </c>
      <c r="D74" s="28">
        <f t="shared" ref="D74:F74" ca="1" si="42">SUM(D54:D73)</f>
        <v>9758.0887619999994</v>
      </c>
      <c r="E74" s="28">
        <f t="shared" ca="1" si="42"/>
        <v>4330.221162137479</v>
      </c>
      <c r="F74" s="28">
        <f t="shared" ca="1" si="42"/>
        <v>135002.58315800002</v>
      </c>
      <c r="G74" s="28"/>
      <c r="H74" s="28"/>
      <c r="I74" s="28">
        <f t="shared" ref="I74:J74" ca="1" si="43">SUM(I54:I73)</f>
        <v>13941.350903951683</v>
      </c>
      <c r="J74" s="28">
        <f t="shared" ca="1" si="43"/>
        <v>148943.9340619517</v>
      </c>
      <c r="K74" s="47">
        <f ca="1">J74/C51</f>
        <v>0.39679891440440618</v>
      </c>
      <c r="L74" s="46">
        <f t="shared" ref="L74" ca="1" si="44">SUM(L54:L73)</f>
        <v>-4795.6313798989704</v>
      </c>
      <c r="M74" s="46">
        <f ca="1">SUM(M54:M73)</f>
        <v>13475.940686190188</v>
      </c>
      <c r="N74" s="46">
        <f ca="1">SUM(N54:N73)</f>
        <v>465.41021776149614</v>
      </c>
      <c r="O74" s="46">
        <f ca="1">SUM(O54:O73)</f>
        <v>-4795.6313798989759</v>
      </c>
      <c r="AK74" s="49">
        <v>0.39999999999999997</v>
      </c>
      <c r="AL74" s="53">
        <v>4464.4082445509484</v>
      </c>
      <c r="AM74" s="53">
        <v>-5253.4601632062549</v>
      </c>
      <c r="AN74" s="52">
        <v>8.6863333670290071E-3</v>
      </c>
    </row>
    <row r="75" spans="2:40" x14ac:dyDescent="0.25">
      <c r="AK75" s="49">
        <v>0.44999999999999996</v>
      </c>
      <c r="AL75" s="53">
        <v>4397.2378203762064</v>
      </c>
      <c r="AM75" s="53">
        <v>-5160.5286872261768</v>
      </c>
      <c r="AN75" s="52">
        <v>7.6469083916339865E-3</v>
      </c>
    </row>
    <row r="76" spans="2:40" x14ac:dyDescent="0.25">
      <c r="G76" t="s">
        <v>56</v>
      </c>
      <c r="H76">
        <f t="array" aca="1" ref="H76" ca="1">SUM((I31:I50-H54:H73)^2)</f>
        <v>3.3270940658445027E-3</v>
      </c>
      <c r="AK76" s="49">
        <v>0.49999999999999994</v>
      </c>
      <c r="AL76" s="53">
        <v>4333.4111531940234</v>
      </c>
      <c r="AM76" s="53">
        <v>-5073.0386084238999</v>
      </c>
      <c r="AN76" s="52">
        <v>6.7451933394966444E-3</v>
      </c>
    </row>
    <row r="77" spans="2:40" x14ac:dyDescent="0.25">
      <c r="AK77" s="49">
        <v>0.54999999999999993</v>
      </c>
      <c r="AL77" s="53">
        <v>4272.0608864615788</v>
      </c>
      <c r="AM77" s="53">
        <v>-4988.6282583551165</v>
      </c>
      <c r="AN77" s="52">
        <v>5.9623704889677802E-3</v>
      </c>
    </row>
    <row r="78" spans="2:40" x14ac:dyDescent="0.25">
      <c r="AK78" s="49">
        <v>0.6</v>
      </c>
      <c r="AL78" s="53">
        <v>4212.5466015132115</v>
      </c>
      <c r="AM78" s="53">
        <v>-4905.3653085302021</v>
      </c>
      <c r="AN78" s="52">
        <v>5.2867817595398129E-3</v>
      </c>
    </row>
    <row r="79" spans="2:40" x14ac:dyDescent="0.25">
      <c r="AK79" s="49">
        <v>0.65</v>
      </c>
      <c r="AL79" s="53">
        <v>4155.0242340433888</v>
      </c>
      <c r="AM79" s="53">
        <v>-4822.52683631324</v>
      </c>
      <c r="AN79" s="52">
        <v>4.7124417477656388E-3</v>
      </c>
    </row>
    <row r="80" spans="2:40" x14ac:dyDescent="0.25">
      <c r="AK80" s="49">
        <v>0.70000000000000007</v>
      </c>
      <c r="AL80" s="53">
        <v>4101.5306548079971</v>
      </c>
      <c r="AM80" s="53">
        <v>-4741.9231750684567</v>
      </c>
      <c r="AN80" s="52">
        <v>4.2379529667246106E-3</v>
      </c>
    </row>
    <row r="81" spans="37:40" x14ac:dyDescent="0.25">
      <c r="AK81" s="49">
        <v>0.75000000000000011</v>
      </c>
      <c r="AL81" s="53">
        <v>4057.7109858769918</v>
      </c>
      <c r="AM81" s="53">
        <v>-4669.7635698263966</v>
      </c>
      <c r="AN81" s="52">
        <v>3.8653416198921858E-3</v>
      </c>
    </row>
    <row r="82" spans="37:40" x14ac:dyDescent="0.25">
      <c r="AK82" s="49">
        <v>0.80000000000000016</v>
      </c>
      <c r="AL82" s="53">
        <v>4034.6377871220211</v>
      </c>
      <c r="AM82" s="53">
        <v>-4618.1681336784877</v>
      </c>
      <c r="AN82" s="52">
        <v>3.5971674465591326E-3</v>
      </c>
    </row>
    <row r="83" spans="37:40" x14ac:dyDescent="0.25">
      <c r="AK83" s="49">
        <v>0.8500000000000002</v>
      </c>
      <c r="AL83" s="53">
        <v>4048.5094300691567</v>
      </c>
      <c r="AM83" s="53">
        <v>-4603.6990663331344</v>
      </c>
      <c r="AN83" s="52">
        <v>3.4302401466722327E-3</v>
      </c>
    </row>
    <row r="84" spans="37:40" x14ac:dyDescent="0.25">
      <c r="AK84" s="49">
        <v>0.90000000000000024</v>
      </c>
      <c r="AL84" s="53">
        <v>4114.692296705678</v>
      </c>
      <c r="AM84" s="53">
        <v>-4639.8778449987722</v>
      </c>
      <c r="AN84" s="52">
        <v>3.3485658077891715E-3</v>
      </c>
    </row>
    <row r="85" spans="37:40" x14ac:dyDescent="0.25">
      <c r="AK85" s="49">
        <v>0.95000000000000029</v>
      </c>
      <c r="AL85" s="53">
        <v>4236.4088287428985</v>
      </c>
      <c r="AM85" s="53">
        <v>-4726.3551653715167</v>
      </c>
      <c r="AN85" s="52">
        <v>3.3247638357917046E-3</v>
      </c>
    </row>
    <row r="86" spans="37:40" x14ac:dyDescent="0.25">
      <c r="AK86" s="49">
        <v>1.0000000000000002</v>
      </c>
      <c r="AL86" s="53">
        <v>4397.9670688412971</v>
      </c>
      <c r="AM86" s="53">
        <v>-4845.7818689633295</v>
      </c>
      <c r="AN86" s="52">
        <v>3.333135937641622E-3</v>
      </c>
    </row>
  </sheetData>
  <conditionalFormatting sqref="T39:T5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9:U5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9:AP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66:AL8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66:AM8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66:AN8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D320B-DA1C-4733-9A83-B7CF29A2F425}">
  <sheetPr codeName="Sheet9"/>
  <dimension ref="A1:AQ76"/>
  <sheetViews>
    <sheetView topLeftCell="C26" zoomScale="70" zoomScaleNormal="70" workbookViewId="0">
      <selection activeCell="M95" sqref="M95"/>
    </sheetView>
  </sheetViews>
  <sheetFormatPr defaultRowHeight="15" x14ac:dyDescent="0.25"/>
  <cols>
    <col min="1" max="1" width="12.28515625" bestFit="1" customWidth="1"/>
    <col min="2" max="2" width="15.28515625" bestFit="1" customWidth="1"/>
    <col min="3" max="3" width="17.5703125" bestFit="1" customWidth="1"/>
    <col min="4" max="4" width="9" bestFit="1" customWidth="1"/>
    <col min="5" max="5" width="10" bestFit="1" customWidth="1"/>
    <col min="6" max="6" width="12.85546875" bestFit="1" customWidth="1"/>
    <col min="7" max="7" width="10.42578125" bestFit="1" customWidth="1"/>
    <col min="8" max="8" width="15.140625" bestFit="1" customWidth="1"/>
    <col min="9" max="9" width="15.85546875" bestFit="1" customWidth="1"/>
    <col min="10" max="10" width="14.28515625" bestFit="1" customWidth="1"/>
    <col min="11" max="11" width="13.5703125" bestFit="1" customWidth="1"/>
    <col min="12" max="12" width="8.85546875" bestFit="1" customWidth="1"/>
    <col min="13" max="13" width="15.7109375" bestFit="1" customWidth="1"/>
    <col min="14" max="14" width="12.42578125" bestFit="1" customWidth="1"/>
    <col min="15" max="15" width="12.140625" bestFit="1" customWidth="1"/>
    <col min="16" max="19" width="8" bestFit="1" customWidth="1"/>
    <col min="20" max="21" width="7" bestFit="1" customWidth="1"/>
    <col min="22" max="41" width="7.140625" bestFit="1" customWidth="1"/>
    <col min="42" max="42" width="9.5703125" bestFit="1" customWidth="1"/>
  </cols>
  <sheetData>
    <row r="1" spans="1:42" x14ac:dyDescent="0.25">
      <c r="A1" t="s">
        <v>27</v>
      </c>
      <c r="B1" t="s">
        <v>2</v>
      </c>
      <c r="W1" s="55"/>
      <c r="X1" s="55" t="s">
        <v>2</v>
      </c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</row>
    <row r="2" spans="1:42" x14ac:dyDescent="0.25">
      <c r="A2" t="s">
        <v>6</v>
      </c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W2" s="54" t="s">
        <v>6</v>
      </c>
      <c r="X2" s="54">
        <v>1</v>
      </c>
      <c r="Y2" s="54">
        <v>2</v>
      </c>
      <c r="Z2" s="54">
        <v>3</v>
      </c>
      <c r="AA2" s="54">
        <v>4</v>
      </c>
      <c r="AB2" s="54">
        <v>5</v>
      </c>
      <c r="AC2" s="54">
        <v>6</v>
      </c>
      <c r="AD2" s="54">
        <v>7</v>
      </c>
      <c r="AE2" s="54">
        <v>8</v>
      </c>
      <c r="AF2" s="54">
        <v>9</v>
      </c>
      <c r="AG2" s="54">
        <v>10</v>
      </c>
      <c r="AH2" s="54">
        <v>11</v>
      </c>
      <c r="AI2" s="54">
        <v>12</v>
      </c>
      <c r="AJ2" s="54">
        <v>13</v>
      </c>
      <c r="AK2" s="54">
        <v>14</v>
      </c>
      <c r="AL2" s="54">
        <v>15</v>
      </c>
      <c r="AM2" s="54">
        <v>16</v>
      </c>
      <c r="AN2" s="54">
        <v>17</v>
      </c>
      <c r="AO2" s="54">
        <v>18</v>
      </c>
      <c r="AP2" s="54">
        <v>19</v>
      </c>
    </row>
    <row r="3" spans="1:42" x14ac:dyDescent="0.25">
      <c r="A3" t="s">
        <v>7</v>
      </c>
      <c r="B3" s="3">
        <v>2013.946441</v>
      </c>
      <c r="C3" s="3">
        <v>3924.7983920000001</v>
      </c>
      <c r="D3" s="3">
        <v>6027.3191349999997</v>
      </c>
      <c r="E3" s="3">
        <v>6476.8752830000003</v>
      </c>
      <c r="F3" s="3">
        <v>5624.0787790000004</v>
      </c>
      <c r="G3" s="3">
        <v>5159.3165429999999</v>
      </c>
      <c r="H3" s="3">
        <v>5213.8515289999996</v>
      </c>
      <c r="I3" s="3">
        <v>6240.6926430000003</v>
      </c>
      <c r="J3" s="3">
        <v>6705.3502500000004</v>
      </c>
      <c r="K3" s="3">
        <v>6716.243297</v>
      </c>
      <c r="L3" s="3">
        <v>7373.2672240000002</v>
      </c>
      <c r="M3" s="3">
        <v>7695.7455790000004</v>
      </c>
      <c r="N3" s="3">
        <v>9011.2466139999997</v>
      </c>
      <c r="O3" s="3">
        <v>9229.5028110000003</v>
      </c>
      <c r="P3" s="3">
        <v>8408.5135379999992</v>
      </c>
      <c r="Q3" s="3">
        <v>8448.1795739999998</v>
      </c>
      <c r="R3" s="3">
        <v>8824.2163760000003</v>
      </c>
      <c r="S3" s="3">
        <v>9202.4968910000007</v>
      </c>
      <c r="T3" s="3">
        <v>9388.4575879999993</v>
      </c>
      <c r="U3" s="3">
        <v>9349.6867120000006</v>
      </c>
      <c r="W3" t="s">
        <v>7</v>
      </c>
      <c r="X3" s="58">
        <f>IFERROR(C3/B3,"")</f>
        <v>1.9488097161368354</v>
      </c>
      <c r="Y3" s="58">
        <f t="shared" ref="Y3:AN20" si="0">IFERROR(D3/C3,"")</f>
        <v>1.5357015910130856</v>
      </c>
      <c r="Z3" s="58">
        <f t="shared" si="0"/>
        <v>1.0745864185935461</v>
      </c>
      <c r="AA3" s="58">
        <f t="shared" si="0"/>
        <v>0.86833210973841757</v>
      </c>
      <c r="AB3" s="58">
        <f t="shared" si="0"/>
        <v>0.91736206865817793</v>
      </c>
      <c r="AC3" s="58">
        <f t="shared" si="0"/>
        <v>1.0105701957895936</v>
      </c>
      <c r="AD3" s="58">
        <f t="shared" si="0"/>
        <v>1.1969448321051339</v>
      </c>
      <c r="AE3" s="58">
        <f t="shared" si="0"/>
        <v>1.0744560954337645</v>
      </c>
      <c r="AF3" s="58">
        <f t="shared" si="0"/>
        <v>1.0016245306499836</v>
      </c>
      <c r="AG3" s="58">
        <f t="shared" si="0"/>
        <v>1.0978261057477592</v>
      </c>
      <c r="AH3" s="58">
        <f t="shared" si="0"/>
        <v>1.0437361545707082</v>
      </c>
      <c r="AI3" s="58">
        <f t="shared" si="0"/>
        <v>1.1709387377084961</v>
      </c>
      <c r="AJ3" s="58">
        <f t="shared" si="0"/>
        <v>1.0242204221401414</v>
      </c>
      <c r="AK3" s="58">
        <f t="shared" si="0"/>
        <v>0.91104729151590691</v>
      </c>
      <c r="AL3" s="58">
        <f t="shared" si="0"/>
        <v>1.0047173660149016</v>
      </c>
      <c r="AM3" s="58">
        <f t="shared" si="0"/>
        <v>1.0445109859119575</v>
      </c>
      <c r="AN3" s="58">
        <f t="shared" si="0"/>
        <v>1.0428684541359212</v>
      </c>
      <c r="AO3" s="58">
        <f t="shared" ref="AO3:AP21" si="1">IFERROR(T3/S3,"")</f>
        <v>1.0202076348628673</v>
      </c>
      <c r="AP3" s="58">
        <f t="shared" si="1"/>
        <v>0.99587036788134886</v>
      </c>
    </row>
    <row r="4" spans="1:42" x14ac:dyDescent="0.25">
      <c r="A4" t="s">
        <v>8</v>
      </c>
      <c r="B4" s="3">
        <v>2531.2208340000002</v>
      </c>
      <c r="C4" s="3">
        <v>4102.4120149999999</v>
      </c>
      <c r="D4" s="3">
        <v>3674.7000880000001</v>
      </c>
      <c r="E4" s="3">
        <v>3868.1824499999998</v>
      </c>
      <c r="F4" s="3">
        <v>4796.172364</v>
      </c>
      <c r="G4" s="3">
        <v>6866.3511060000001</v>
      </c>
      <c r="H4" s="3">
        <v>6072.0771169999998</v>
      </c>
      <c r="I4" s="3">
        <v>6013.9847440000003</v>
      </c>
      <c r="J4" s="3">
        <v>5986.4556789999997</v>
      </c>
      <c r="K4" s="3">
        <v>5787.8813689999997</v>
      </c>
      <c r="L4" s="3">
        <v>5951.2073149999997</v>
      </c>
      <c r="M4" s="3">
        <v>5957.5664360000001</v>
      </c>
      <c r="N4" s="3">
        <v>6047.884556</v>
      </c>
      <c r="O4" s="3">
        <v>6064.7414580000004</v>
      </c>
      <c r="P4" s="3">
        <v>5876.6184279999998</v>
      </c>
      <c r="Q4" s="3">
        <v>5969.3546420000002</v>
      </c>
      <c r="R4" s="3">
        <v>5986.5370569999995</v>
      </c>
      <c r="S4" s="3">
        <v>5997.3836019999999</v>
      </c>
      <c r="T4" s="3">
        <v>5766.6765480000004</v>
      </c>
      <c r="U4" s="3"/>
      <c r="W4" t="s">
        <v>8</v>
      </c>
      <c r="X4" s="58">
        <f t="shared" ref="X4:Y21" si="2">IFERROR(C4/B4,"")</f>
        <v>1.6207246558243205</v>
      </c>
      <c r="Y4" s="58">
        <f t="shared" si="0"/>
        <v>0.8957413527856003</v>
      </c>
      <c r="Z4" s="58">
        <f t="shared" si="0"/>
        <v>1.0526525586759665</v>
      </c>
      <c r="AA4" s="58">
        <f t="shared" si="0"/>
        <v>1.2399033463377613</v>
      </c>
      <c r="AB4" s="58">
        <f t="shared" si="0"/>
        <v>1.4316314312510392</v>
      </c>
      <c r="AC4" s="58">
        <f t="shared" si="0"/>
        <v>0.88432371477392957</v>
      </c>
      <c r="AD4" s="58">
        <f t="shared" si="0"/>
        <v>0.99043286640129158</v>
      </c>
      <c r="AE4" s="58">
        <f t="shared" si="0"/>
        <v>0.99542249171359043</v>
      </c>
      <c r="AF4" s="58">
        <f t="shared" si="0"/>
        <v>0.96682940279728746</v>
      </c>
      <c r="AG4" s="58">
        <f t="shared" si="0"/>
        <v>1.0282186063582397</v>
      </c>
      <c r="AH4" s="58">
        <f t="shared" si="0"/>
        <v>1.0010685430137802</v>
      </c>
      <c r="AI4" s="58">
        <f t="shared" si="0"/>
        <v>1.0151602371488855</v>
      </c>
      <c r="AJ4" s="58">
        <f t="shared" si="0"/>
        <v>1.0027872393799708</v>
      </c>
      <c r="AK4" s="58">
        <f t="shared" si="0"/>
        <v>0.96898086566380381</v>
      </c>
      <c r="AL4" s="58">
        <f t="shared" si="0"/>
        <v>1.0157805403117794</v>
      </c>
      <c r="AM4" s="58">
        <f t="shared" si="0"/>
        <v>1.0028784376252509</v>
      </c>
      <c r="AN4" s="58">
        <f t="shared" si="0"/>
        <v>1.0018118229114306</v>
      </c>
      <c r="AO4" s="58">
        <f t="shared" si="1"/>
        <v>0.96153204975531936</v>
      </c>
      <c r="AP4" s="58"/>
    </row>
    <row r="5" spans="1:42" x14ac:dyDescent="0.25">
      <c r="A5" t="s">
        <v>9</v>
      </c>
      <c r="B5" s="3">
        <v>2373.0565879999999</v>
      </c>
      <c r="C5" s="3">
        <v>4426.3900530000001</v>
      </c>
      <c r="D5" s="3">
        <v>7274.1486379999997</v>
      </c>
      <c r="E5" s="3">
        <v>6513.6233300000004</v>
      </c>
      <c r="F5" s="3">
        <v>6699.1306350000004</v>
      </c>
      <c r="G5" s="3">
        <v>7062.8677109999999</v>
      </c>
      <c r="H5" s="3">
        <v>7602.8931110000003</v>
      </c>
      <c r="I5" s="3">
        <v>7727.2970500000001</v>
      </c>
      <c r="J5" s="3">
        <v>7130.4929529999999</v>
      </c>
      <c r="K5" s="3">
        <v>7655.4982710000004</v>
      </c>
      <c r="L5" s="3">
        <v>7948.7967470000003</v>
      </c>
      <c r="M5" s="3">
        <v>8586.5689289999991</v>
      </c>
      <c r="N5" s="3">
        <v>9113.0506789999999</v>
      </c>
      <c r="O5" s="3">
        <v>7730.2964160000001</v>
      </c>
      <c r="P5" s="3">
        <v>7925.092455</v>
      </c>
      <c r="Q5" s="3">
        <v>8275.5765190000002</v>
      </c>
      <c r="R5" s="3">
        <v>8179.6316809999998</v>
      </c>
      <c r="S5" s="3">
        <v>7820.8819219999996</v>
      </c>
      <c r="T5" s="3"/>
      <c r="U5" s="3"/>
      <c r="W5" t="s">
        <v>9</v>
      </c>
      <c r="X5" s="58">
        <f t="shared" si="2"/>
        <v>1.8652694905731426</v>
      </c>
      <c r="Y5" s="58">
        <f t="shared" si="0"/>
        <v>1.643359159699431</v>
      </c>
      <c r="Z5" s="58">
        <f t="shared" si="0"/>
        <v>0.89544820351524979</v>
      </c>
      <c r="AA5" s="58">
        <f t="shared" si="0"/>
        <v>1.0284798944614442</v>
      </c>
      <c r="AB5" s="58">
        <f t="shared" si="0"/>
        <v>1.0542961610719508</v>
      </c>
      <c r="AC5" s="58">
        <f t="shared" si="0"/>
        <v>1.0764597925512527</v>
      </c>
      <c r="AD5" s="58">
        <f t="shared" si="0"/>
        <v>1.0163627105081894</v>
      </c>
      <c r="AE5" s="58">
        <f t="shared" si="0"/>
        <v>0.92276677172647326</v>
      </c>
      <c r="AF5" s="58">
        <f t="shared" si="0"/>
        <v>1.0736281939356123</v>
      </c>
      <c r="AG5" s="58">
        <f t="shared" si="0"/>
        <v>1.0383121340528614</v>
      </c>
      <c r="AH5" s="58">
        <f t="shared" si="0"/>
        <v>1.0802350597580324</v>
      </c>
      <c r="AI5" s="58">
        <f t="shared" si="0"/>
        <v>1.0613145663131962</v>
      </c>
      <c r="AJ5" s="58">
        <f t="shared" si="0"/>
        <v>0.84826658912515418</v>
      </c>
      <c r="AK5" s="58">
        <f t="shared" si="0"/>
        <v>1.0251990387583088</v>
      </c>
      <c r="AL5" s="58">
        <f t="shared" si="0"/>
        <v>1.0442246025507094</v>
      </c>
      <c r="AM5" s="58">
        <f t="shared" si="0"/>
        <v>0.98840626537864529</v>
      </c>
      <c r="AN5" s="58">
        <f t="shared" si="0"/>
        <v>0.95614108642161488</v>
      </c>
      <c r="AO5" s="58"/>
      <c r="AP5" s="58" t="str">
        <f t="shared" si="1"/>
        <v/>
      </c>
    </row>
    <row r="6" spans="1:42" x14ac:dyDescent="0.25">
      <c r="A6" t="s">
        <v>10</v>
      </c>
      <c r="B6" s="3">
        <v>3664.5859460000001</v>
      </c>
      <c r="C6" s="3">
        <v>6028.3305490000002</v>
      </c>
      <c r="D6" s="3">
        <v>5679.3345429999999</v>
      </c>
      <c r="E6" s="3">
        <v>5792.7756829999998</v>
      </c>
      <c r="F6" s="3">
        <v>5157.6657290000003</v>
      </c>
      <c r="G6" s="3">
        <v>5202.5864680000004</v>
      </c>
      <c r="H6" s="3">
        <v>4824.1083200000003</v>
      </c>
      <c r="I6" s="3">
        <v>4749.066041</v>
      </c>
      <c r="J6" s="3">
        <v>5152.469153</v>
      </c>
      <c r="K6" s="3">
        <v>5240.3924310000002</v>
      </c>
      <c r="L6" s="3">
        <v>5260.8299720000005</v>
      </c>
      <c r="M6" s="3">
        <v>5360.6228339999998</v>
      </c>
      <c r="N6" s="3">
        <v>5261.9111380000004</v>
      </c>
      <c r="O6" s="3">
        <v>5605.5826889999998</v>
      </c>
      <c r="P6" s="3">
        <v>5472.9246800000001</v>
      </c>
      <c r="Q6" s="3">
        <v>5358.541878</v>
      </c>
      <c r="R6" s="3">
        <v>6050.6862890000002</v>
      </c>
      <c r="S6" s="3"/>
      <c r="T6" s="3"/>
      <c r="U6" s="3"/>
      <c r="W6" t="s">
        <v>10</v>
      </c>
      <c r="X6" s="58">
        <f t="shared" si="2"/>
        <v>1.6450236501016151</v>
      </c>
      <c r="Y6" s="58">
        <f t="shared" si="0"/>
        <v>0.94210735407369239</v>
      </c>
      <c r="Z6" s="58">
        <f t="shared" si="0"/>
        <v>1.0199743718460503</v>
      </c>
      <c r="AA6" s="58">
        <f t="shared" si="0"/>
        <v>0.89036172143453607</v>
      </c>
      <c r="AB6" s="58">
        <f t="shared" si="0"/>
        <v>1.0087095095650391</v>
      </c>
      <c r="AC6" s="58">
        <f t="shared" si="0"/>
        <v>0.92725192549361002</v>
      </c>
      <c r="AD6" s="58">
        <f t="shared" si="0"/>
        <v>0.98444432130827442</v>
      </c>
      <c r="AE6" s="58">
        <f t="shared" si="0"/>
        <v>1.0849436728226791</v>
      </c>
      <c r="AF6" s="58">
        <f t="shared" si="0"/>
        <v>1.017064299734586</v>
      </c>
      <c r="AG6" s="58">
        <f t="shared" si="0"/>
        <v>1.0039000020073114</v>
      </c>
      <c r="AH6" s="58">
        <f t="shared" si="0"/>
        <v>1.0189690338846022</v>
      </c>
      <c r="AI6" s="58">
        <f t="shared" si="0"/>
        <v>0.98158577854537432</v>
      </c>
      <c r="AJ6" s="58">
        <f t="shared" si="0"/>
        <v>1.0653130662960275</v>
      </c>
      <c r="AK6" s="58">
        <f t="shared" si="0"/>
        <v>0.97633466200394858</v>
      </c>
      <c r="AL6" s="58">
        <f t="shared" si="0"/>
        <v>0.97910024188383316</v>
      </c>
      <c r="AM6" s="58">
        <f t="shared" si="0"/>
        <v>1.1291665581343433</v>
      </c>
      <c r="AN6" s="58"/>
      <c r="AO6" s="58" t="str">
        <f t="shared" si="1"/>
        <v/>
      </c>
      <c r="AP6" s="58" t="str">
        <f t="shared" si="1"/>
        <v/>
      </c>
    </row>
    <row r="7" spans="1:42" x14ac:dyDescent="0.25">
      <c r="A7" t="s">
        <v>11</v>
      </c>
      <c r="B7" s="3">
        <v>3685.2443709999998</v>
      </c>
      <c r="C7" s="3">
        <v>6009.2299350000003</v>
      </c>
      <c r="D7" s="3">
        <v>6655.2096849999998</v>
      </c>
      <c r="E7" s="3">
        <v>5535.0627100000002</v>
      </c>
      <c r="F7" s="3">
        <v>6291.728368</v>
      </c>
      <c r="G7" s="3">
        <v>6971.8869400000003</v>
      </c>
      <c r="H7" s="3">
        <v>6792.6806299999998</v>
      </c>
      <c r="I7" s="3">
        <v>6362.0158380000003</v>
      </c>
      <c r="J7" s="3">
        <v>6510.1240699999998</v>
      </c>
      <c r="K7" s="3">
        <v>6456.6586260000004</v>
      </c>
      <c r="L7" s="3">
        <v>6734.0302350000002</v>
      </c>
      <c r="M7" s="3">
        <v>6836.1481869999998</v>
      </c>
      <c r="N7" s="3">
        <v>7816.8827670000001</v>
      </c>
      <c r="O7" s="3">
        <v>8117.4936509999998</v>
      </c>
      <c r="P7" s="3">
        <v>8601.7168899999997</v>
      </c>
      <c r="Q7" s="3">
        <v>8508.0506409999998</v>
      </c>
      <c r="R7" s="3"/>
      <c r="S7" s="3"/>
      <c r="T7" s="3"/>
      <c r="U7" s="3"/>
      <c r="W7" t="s">
        <v>11</v>
      </c>
      <c r="X7" s="58">
        <f t="shared" si="2"/>
        <v>1.630619120481658</v>
      </c>
      <c r="Y7" s="58">
        <f t="shared" si="0"/>
        <v>1.107497925189644</v>
      </c>
      <c r="Z7" s="58">
        <f t="shared" si="0"/>
        <v>0.83168870283310992</v>
      </c>
      <c r="AA7" s="58">
        <f t="shared" si="0"/>
        <v>1.1367040804493433</v>
      </c>
      <c r="AB7" s="58">
        <f t="shared" si="0"/>
        <v>1.1081036135411242</v>
      </c>
      <c r="AC7" s="58">
        <f t="shared" si="0"/>
        <v>0.97429586688048031</v>
      </c>
      <c r="AD7" s="58">
        <f t="shared" si="0"/>
        <v>0.93659869859066236</v>
      </c>
      <c r="AE7" s="58">
        <f t="shared" si="0"/>
        <v>1.0232800791087875</v>
      </c>
      <c r="AF7" s="58">
        <f t="shared" si="0"/>
        <v>0.99178733870121161</v>
      </c>
      <c r="AG7" s="58">
        <f t="shared" si="0"/>
        <v>1.0429590017169355</v>
      </c>
      <c r="AH7" s="58">
        <f t="shared" si="0"/>
        <v>1.0151644629495786</v>
      </c>
      <c r="AI7" s="58">
        <f t="shared" si="0"/>
        <v>1.1434630369577155</v>
      </c>
      <c r="AJ7" s="58">
        <f t="shared" si="0"/>
        <v>1.038456619212593</v>
      </c>
      <c r="AK7" s="58">
        <f t="shared" si="0"/>
        <v>1.0596518161662312</v>
      </c>
      <c r="AL7" s="58">
        <f t="shared" si="0"/>
        <v>0.98911074960989565</v>
      </c>
      <c r="AM7" s="58"/>
      <c r="AN7" s="58" t="str">
        <f t="shared" si="0"/>
        <v/>
      </c>
      <c r="AO7" s="58" t="str">
        <f t="shared" si="1"/>
        <v/>
      </c>
      <c r="AP7" s="58" t="str">
        <f t="shared" si="1"/>
        <v/>
      </c>
    </row>
    <row r="8" spans="1:42" x14ac:dyDescent="0.25">
      <c r="A8" t="s">
        <v>12</v>
      </c>
      <c r="B8" s="3">
        <v>5623.5091320000001</v>
      </c>
      <c r="C8" s="3">
        <v>9330.1908330000006</v>
      </c>
      <c r="D8" s="3">
        <v>8640.3133839999991</v>
      </c>
      <c r="E8" s="3">
        <v>7675.8079319999997</v>
      </c>
      <c r="F8" s="3">
        <v>7066.0647099999996</v>
      </c>
      <c r="G8" s="3">
        <v>6535.0257840000004</v>
      </c>
      <c r="H8" s="3">
        <v>7004.2986950000004</v>
      </c>
      <c r="I8" s="3">
        <v>6964.6442850000003</v>
      </c>
      <c r="J8" s="3">
        <v>7006.5772829999996</v>
      </c>
      <c r="K8" s="3">
        <v>7243.7480859999996</v>
      </c>
      <c r="L8" s="3">
        <v>7123.773443</v>
      </c>
      <c r="M8" s="3">
        <v>7118.9605069999998</v>
      </c>
      <c r="N8" s="3">
        <v>7294.0746589999999</v>
      </c>
      <c r="O8" s="3">
        <v>7250.9791160000004</v>
      </c>
      <c r="P8" s="3">
        <v>6981.2221769999996</v>
      </c>
      <c r="Q8" s="3"/>
      <c r="R8" s="3"/>
      <c r="S8" s="3"/>
      <c r="T8" s="3"/>
      <c r="U8" s="3"/>
      <c r="W8" t="s">
        <v>12</v>
      </c>
      <c r="X8" s="58">
        <f t="shared" si="2"/>
        <v>1.6591403363973412</v>
      </c>
      <c r="Y8" s="58">
        <f t="shared" si="0"/>
        <v>0.92605966358587544</v>
      </c>
      <c r="Z8" s="58">
        <f t="shared" si="0"/>
        <v>0.88837147344839873</v>
      </c>
      <c r="AA8" s="58">
        <f t="shared" si="0"/>
        <v>0.92056299123144869</v>
      </c>
      <c r="AB8" s="58">
        <f t="shared" si="0"/>
        <v>0.92484658041010226</v>
      </c>
      <c r="AC8" s="58">
        <f t="shared" si="0"/>
        <v>1.0718088843886342</v>
      </c>
      <c r="AD8" s="58">
        <f t="shared" si="0"/>
        <v>0.99433856097137785</v>
      </c>
      <c r="AE8" s="58">
        <f t="shared" si="0"/>
        <v>1.0060208384353975</v>
      </c>
      <c r="AF8" s="58">
        <f t="shared" si="0"/>
        <v>1.0338497376708375</v>
      </c>
      <c r="AG8" s="58">
        <f t="shared" si="0"/>
        <v>0.98343749098179234</v>
      </c>
      <c r="AH8" s="58">
        <f t="shared" si="0"/>
        <v>0.99932438390432954</v>
      </c>
      <c r="AI8" s="58">
        <f t="shared" si="0"/>
        <v>1.0245982755246095</v>
      </c>
      <c r="AJ8" s="58">
        <f t="shared" si="0"/>
        <v>0.99409170525190271</v>
      </c>
      <c r="AK8" s="58">
        <f t="shared" si="0"/>
        <v>0.96279717060489722</v>
      </c>
      <c r="AL8" s="58"/>
      <c r="AM8" s="58" t="str">
        <f t="shared" si="0"/>
        <v/>
      </c>
      <c r="AN8" s="58" t="str">
        <f t="shared" si="0"/>
        <v/>
      </c>
      <c r="AO8" s="58" t="str">
        <f t="shared" si="1"/>
        <v/>
      </c>
      <c r="AP8" s="58" t="str">
        <f t="shared" si="1"/>
        <v/>
      </c>
    </row>
    <row r="9" spans="1:42" x14ac:dyDescent="0.25">
      <c r="A9" t="s">
        <v>13</v>
      </c>
      <c r="B9" s="3">
        <v>6359.5279920000003</v>
      </c>
      <c r="C9" s="3">
        <v>8484.6951119999994</v>
      </c>
      <c r="D9" s="3">
        <v>9147.1946260000004</v>
      </c>
      <c r="E9" s="3">
        <v>6628.1572630000001</v>
      </c>
      <c r="F9" s="3">
        <v>6883.1382560000002</v>
      </c>
      <c r="G9" s="3">
        <v>6989.9063880000003</v>
      </c>
      <c r="H9" s="3">
        <v>7416.5836499999996</v>
      </c>
      <c r="I9" s="3">
        <v>7768.2186339999998</v>
      </c>
      <c r="J9" s="3">
        <v>8116.9356289999996</v>
      </c>
      <c r="K9" s="3">
        <v>7775.4961649999996</v>
      </c>
      <c r="L9" s="3">
        <v>7907.968167</v>
      </c>
      <c r="M9" s="3">
        <v>7946.1926460000004</v>
      </c>
      <c r="N9" s="3">
        <v>7905.0850559999999</v>
      </c>
      <c r="O9" s="3">
        <v>7503.6233940000002</v>
      </c>
      <c r="P9" s="3"/>
      <c r="Q9" s="3"/>
      <c r="R9" s="3"/>
      <c r="S9" s="3"/>
      <c r="T9" s="3"/>
      <c r="U9" s="3"/>
      <c r="W9" t="s">
        <v>13</v>
      </c>
      <c r="X9" s="58">
        <f t="shared" si="2"/>
        <v>1.3341705740855867</v>
      </c>
      <c r="Y9" s="58">
        <f t="shared" si="0"/>
        <v>1.0780817112759915</v>
      </c>
      <c r="Z9" s="58">
        <f t="shared" si="0"/>
        <v>0.72461093635857654</v>
      </c>
      <c r="AA9" s="58">
        <f t="shared" si="0"/>
        <v>1.0384693637888416</v>
      </c>
      <c r="AB9" s="58">
        <f t="shared" si="0"/>
        <v>1.0155115483706769</v>
      </c>
      <c r="AC9" s="58">
        <f t="shared" si="0"/>
        <v>1.0610419136274132</v>
      </c>
      <c r="AD9" s="58">
        <f t="shared" si="0"/>
        <v>1.0474119892115017</v>
      </c>
      <c r="AE9" s="58">
        <f t="shared" si="0"/>
        <v>1.0448902137581109</v>
      </c>
      <c r="AF9" s="58">
        <f t="shared" si="0"/>
        <v>0.95793493017486631</v>
      </c>
      <c r="AG9" s="58">
        <f t="shared" si="0"/>
        <v>1.0170371123834256</v>
      </c>
      <c r="AH9" s="58">
        <f t="shared" si="0"/>
        <v>1.0048336662708774</v>
      </c>
      <c r="AI9" s="58">
        <f t="shared" si="0"/>
        <v>0.99482675643149765</v>
      </c>
      <c r="AJ9" s="58">
        <f t="shared" si="0"/>
        <v>0.9492147574433385</v>
      </c>
      <c r="AK9" s="58"/>
      <c r="AL9" s="58" t="str">
        <f t="shared" si="0"/>
        <v/>
      </c>
      <c r="AM9" s="58" t="str">
        <f t="shared" si="0"/>
        <v/>
      </c>
      <c r="AN9" s="58" t="str">
        <f t="shared" si="0"/>
        <v/>
      </c>
      <c r="AO9" s="58" t="str">
        <f t="shared" si="1"/>
        <v/>
      </c>
      <c r="AP9" s="58" t="str">
        <f t="shared" si="1"/>
        <v/>
      </c>
    </row>
    <row r="10" spans="1:42" x14ac:dyDescent="0.25">
      <c r="A10" t="s">
        <v>14</v>
      </c>
      <c r="B10" s="3">
        <v>3654.8670699999998</v>
      </c>
      <c r="C10" s="3">
        <v>4337.5018630000004</v>
      </c>
      <c r="D10" s="3">
        <v>3999.7592930000001</v>
      </c>
      <c r="E10" s="3">
        <v>4567.8485280000004</v>
      </c>
      <c r="F10" s="3">
        <v>6659.1623380000001</v>
      </c>
      <c r="G10" s="3">
        <v>6570.5066569999999</v>
      </c>
      <c r="H10" s="3">
        <v>6598.8960049999996</v>
      </c>
      <c r="I10" s="3">
        <v>6949.1940619999996</v>
      </c>
      <c r="J10" s="3">
        <v>7302.9913790000001</v>
      </c>
      <c r="K10" s="3">
        <v>7384.1137689999996</v>
      </c>
      <c r="L10" s="3">
        <v>8192.2917959999995</v>
      </c>
      <c r="M10" s="3">
        <v>8634.6169140000002</v>
      </c>
      <c r="N10" s="3">
        <v>8644.1149060000007</v>
      </c>
      <c r="O10" s="3"/>
      <c r="P10" s="3"/>
      <c r="Q10" s="3"/>
      <c r="R10" s="3"/>
      <c r="S10" s="3"/>
      <c r="T10" s="3"/>
      <c r="U10" s="3"/>
      <c r="W10" t="s">
        <v>14</v>
      </c>
      <c r="X10" s="58">
        <f t="shared" si="2"/>
        <v>1.1867741780824879</v>
      </c>
      <c r="Y10" s="58">
        <f t="shared" si="0"/>
        <v>0.92213431125389689</v>
      </c>
      <c r="Z10" s="58">
        <f t="shared" si="0"/>
        <v>1.1420308557052961</v>
      </c>
      <c r="AA10" s="58">
        <f t="shared" si="0"/>
        <v>1.4578334411004794</v>
      </c>
      <c r="AB10" s="58">
        <f t="shared" si="0"/>
        <v>0.98668666170006203</v>
      </c>
      <c r="AC10" s="58">
        <f t="shared" si="0"/>
        <v>1.0043207243340595</v>
      </c>
      <c r="AD10" s="58">
        <f t="shared" si="0"/>
        <v>1.0530843427043823</v>
      </c>
      <c r="AE10" s="58">
        <f t="shared" si="0"/>
        <v>1.0509119926488535</v>
      </c>
      <c r="AF10" s="58">
        <f t="shared" si="0"/>
        <v>1.0111081043082248</v>
      </c>
      <c r="AG10" s="58">
        <f t="shared" si="0"/>
        <v>1.1094482089906164</v>
      </c>
      <c r="AH10" s="58">
        <f t="shared" si="0"/>
        <v>1.0539928421758575</v>
      </c>
      <c r="AI10" s="58">
        <f t="shared" si="0"/>
        <v>1.0010999899699777</v>
      </c>
      <c r="AJ10" s="58"/>
      <c r="AK10" s="58" t="str">
        <f t="shared" si="0"/>
        <v/>
      </c>
      <c r="AL10" s="58" t="str">
        <f t="shared" si="0"/>
        <v/>
      </c>
      <c r="AM10" s="58" t="str">
        <f t="shared" si="0"/>
        <v/>
      </c>
      <c r="AN10" s="58" t="str">
        <f t="shared" si="0"/>
        <v/>
      </c>
      <c r="AO10" s="58" t="str">
        <f t="shared" si="1"/>
        <v/>
      </c>
      <c r="AP10" s="58" t="str">
        <f t="shared" si="1"/>
        <v/>
      </c>
    </row>
    <row r="11" spans="1:42" x14ac:dyDescent="0.25">
      <c r="A11" t="s">
        <v>15</v>
      </c>
      <c r="B11" s="3">
        <v>1202.8039240000001</v>
      </c>
      <c r="C11" s="3">
        <v>2897.1202450000001</v>
      </c>
      <c r="D11" s="3">
        <v>3288.5607690000002</v>
      </c>
      <c r="E11" s="3">
        <v>2418.3609670000001</v>
      </c>
      <c r="F11" s="3">
        <v>2197.3262880000002</v>
      </c>
      <c r="G11" s="3">
        <v>3144.428441</v>
      </c>
      <c r="H11" s="3">
        <v>3153.2289059999998</v>
      </c>
      <c r="I11" s="3">
        <v>3073.0714290000001</v>
      </c>
      <c r="J11" s="3">
        <v>3108.656931</v>
      </c>
      <c r="K11" s="3">
        <v>2366.9183509999998</v>
      </c>
      <c r="L11" s="3">
        <v>1991.5093220000001</v>
      </c>
      <c r="M11" s="3">
        <v>2082.8039800000001</v>
      </c>
      <c r="N11" s="3"/>
      <c r="O11" s="3"/>
      <c r="P11" s="3"/>
      <c r="Q11" s="3"/>
      <c r="R11" s="3"/>
      <c r="S11" s="3"/>
      <c r="T11" s="3"/>
      <c r="U11" s="3"/>
      <c r="W11" t="s">
        <v>15</v>
      </c>
      <c r="X11" s="58">
        <f t="shared" si="2"/>
        <v>2.4086388372973082</v>
      </c>
      <c r="Y11" s="58">
        <f t="shared" si="0"/>
        <v>1.1351136614628159</v>
      </c>
      <c r="Z11" s="58">
        <f t="shared" si="0"/>
        <v>0.73538582281859</v>
      </c>
      <c r="AA11" s="58">
        <f t="shared" si="0"/>
        <v>0.90860145279544624</v>
      </c>
      <c r="AB11" s="58">
        <f t="shared" si="0"/>
        <v>1.4310248132798016</v>
      </c>
      <c r="AC11" s="58">
        <f t="shared" si="0"/>
        <v>1.0027987486963452</v>
      </c>
      <c r="AD11" s="58">
        <f t="shared" si="0"/>
        <v>0.97457923944326552</v>
      </c>
      <c r="AE11" s="58">
        <f t="shared" si="0"/>
        <v>1.011579783556017</v>
      </c>
      <c r="AF11" s="58">
        <f t="shared" si="0"/>
        <v>0.76139580646443483</v>
      </c>
      <c r="AG11" s="58">
        <f t="shared" si="0"/>
        <v>0.84139333372382996</v>
      </c>
      <c r="AH11" s="58">
        <f t="shared" si="0"/>
        <v>1.0458419435909625</v>
      </c>
      <c r="AI11" s="58"/>
      <c r="AJ11" s="58" t="str">
        <f t="shared" si="0"/>
        <v/>
      </c>
      <c r="AK11" s="58" t="str">
        <f t="shared" si="0"/>
        <v/>
      </c>
      <c r="AL11" s="58" t="str">
        <f t="shared" si="0"/>
        <v/>
      </c>
      <c r="AM11" s="58" t="str">
        <f t="shared" si="0"/>
        <v/>
      </c>
      <c r="AN11" s="58" t="str">
        <f t="shared" si="0"/>
        <v/>
      </c>
      <c r="AO11" s="58" t="str">
        <f t="shared" si="1"/>
        <v/>
      </c>
      <c r="AP11" s="58" t="str">
        <f t="shared" si="1"/>
        <v/>
      </c>
    </row>
    <row r="12" spans="1:42" x14ac:dyDescent="0.25">
      <c r="A12" t="s">
        <v>16</v>
      </c>
      <c r="B12" s="3">
        <v>1110.2537170000001</v>
      </c>
      <c r="C12" s="3">
        <v>2110.9608199999998</v>
      </c>
      <c r="D12" s="3">
        <v>3328.017546</v>
      </c>
      <c r="E12" s="3">
        <v>5474.0174720000005</v>
      </c>
      <c r="F12" s="3">
        <v>5593.3759659999996</v>
      </c>
      <c r="G12" s="3">
        <v>5660.3850599999996</v>
      </c>
      <c r="H12" s="3">
        <v>4710.0161550000003</v>
      </c>
      <c r="I12" s="3">
        <v>4873.516482</v>
      </c>
      <c r="J12" s="3">
        <v>4568.5693060000003</v>
      </c>
      <c r="K12" s="3">
        <v>4547.1319759999997</v>
      </c>
      <c r="L12" s="3">
        <v>4600.6671729999998</v>
      </c>
      <c r="M12" s="3"/>
      <c r="N12" s="3"/>
      <c r="O12" s="3"/>
      <c r="P12" s="3"/>
      <c r="Q12" s="3"/>
      <c r="R12" s="3"/>
      <c r="S12" s="3"/>
      <c r="T12" s="3"/>
      <c r="U12" s="3"/>
      <c r="W12" t="s">
        <v>16</v>
      </c>
      <c r="X12" s="58">
        <f t="shared" si="2"/>
        <v>1.901331909704383</v>
      </c>
      <c r="Y12" s="58">
        <f t="shared" si="0"/>
        <v>1.5765415987209086</v>
      </c>
      <c r="Z12" s="58">
        <f t="shared" si="0"/>
        <v>1.6448283088469031</v>
      </c>
      <c r="AA12" s="58">
        <f t="shared" si="0"/>
        <v>1.0218045511565366</v>
      </c>
      <c r="AB12" s="58">
        <f t="shared" si="0"/>
        <v>1.0119800804393131</v>
      </c>
      <c r="AC12" s="58">
        <f t="shared" si="0"/>
        <v>0.83210172189239728</v>
      </c>
      <c r="AD12" s="58">
        <f t="shared" si="0"/>
        <v>1.0347133261584323</v>
      </c>
      <c r="AE12" s="58">
        <f t="shared" si="0"/>
        <v>0.93742769166241635</v>
      </c>
      <c r="AF12" s="58">
        <f t="shared" si="0"/>
        <v>0.99530764916451053</v>
      </c>
      <c r="AG12" s="58">
        <f t="shared" si="0"/>
        <v>1.0117733985471637</v>
      </c>
      <c r="AH12" s="58"/>
      <c r="AI12" s="58" t="str">
        <f t="shared" si="0"/>
        <v/>
      </c>
      <c r="AJ12" s="58" t="str">
        <f t="shared" si="0"/>
        <v/>
      </c>
      <c r="AK12" s="58" t="str">
        <f t="shared" si="0"/>
        <v/>
      </c>
      <c r="AL12" s="58" t="str">
        <f t="shared" si="0"/>
        <v/>
      </c>
      <c r="AM12" s="58" t="str">
        <f t="shared" si="0"/>
        <v/>
      </c>
      <c r="AN12" s="58" t="str">
        <f t="shared" si="0"/>
        <v/>
      </c>
      <c r="AO12" s="58" t="str">
        <f t="shared" si="1"/>
        <v/>
      </c>
      <c r="AP12" s="58" t="str">
        <f t="shared" si="1"/>
        <v/>
      </c>
    </row>
    <row r="13" spans="1:42" x14ac:dyDescent="0.25">
      <c r="A13" t="s">
        <v>17</v>
      </c>
      <c r="B13" s="3">
        <v>775.70814529999996</v>
      </c>
      <c r="C13" s="3">
        <v>3290.3510879999999</v>
      </c>
      <c r="D13" s="3">
        <v>6314.5491259999999</v>
      </c>
      <c r="E13" s="3">
        <v>7099.3832490000004</v>
      </c>
      <c r="F13" s="3">
        <v>7206.3838900000001</v>
      </c>
      <c r="G13" s="3">
        <v>6951.1238869999997</v>
      </c>
      <c r="H13" s="3">
        <v>6910.5626920000004</v>
      </c>
      <c r="I13" s="3">
        <v>6848.320033</v>
      </c>
      <c r="J13" s="3">
        <v>6906.1682719999999</v>
      </c>
      <c r="K13" s="3">
        <v>6825.708533</v>
      </c>
      <c r="L13" s="3"/>
      <c r="M13" s="3"/>
      <c r="N13" s="3"/>
      <c r="O13" s="3"/>
      <c r="P13" s="3"/>
      <c r="Q13" s="3"/>
      <c r="R13" s="3"/>
      <c r="S13" s="3"/>
      <c r="T13" s="3"/>
      <c r="U13" s="3"/>
      <c r="W13" t="s">
        <v>17</v>
      </c>
      <c r="X13" s="58">
        <f t="shared" si="2"/>
        <v>4.2417384784937102</v>
      </c>
      <c r="Y13" s="58">
        <f t="shared" si="0"/>
        <v>1.9191110483708966</v>
      </c>
      <c r="Z13" s="58">
        <f t="shared" si="0"/>
        <v>1.124289811883554</v>
      </c>
      <c r="AA13" s="58">
        <f t="shared" si="0"/>
        <v>1.0150718220508903</v>
      </c>
      <c r="AB13" s="58">
        <f t="shared" si="0"/>
        <v>0.96457862821404583</v>
      </c>
      <c r="AC13" s="58">
        <f t="shared" si="0"/>
        <v>0.99416480044675126</v>
      </c>
      <c r="AD13" s="58">
        <f t="shared" si="0"/>
        <v>0.99099311275013025</v>
      </c>
      <c r="AE13" s="58">
        <f t="shared" si="0"/>
        <v>1.0084470700436379</v>
      </c>
      <c r="AF13" s="58">
        <f t="shared" si="0"/>
        <v>0.98834958317969002</v>
      </c>
      <c r="AG13" s="58"/>
      <c r="AH13" s="58" t="str">
        <f t="shared" si="0"/>
        <v/>
      </c>
      <c r="AI13" s="58" t="str">
        <f t="shared" si="0"/>
        <v/>
      </c>
      <c r="AJ13" s="58" t="str">
        <f t="shared" si="0"/>
        <v/>
      </c>
      <c r="AK13" s="58" t="str">
        <f t="shared" si="0"/>
        <v/>
      </c>
      <c r="AL13" s="58" t="str">
        <f t="shared" si="0"/>
        <v/>
      </c>
      <c r="AM13" s="58" t="str">
        <f t="shared" si="0"/>
        <v/>
      </c>
      <c r="AN13" s="58" t="str">
        <f t="shared" si="0"/>
        <v/>
      </c>
      <c r="AO13" s="58" t="str">
        <f t="shared" si="1"/>
        <v/>
      </c>
      <c r="AP13" s="58" t="str">
        <f t="shared" si="1"/>
        <v/>
      </c>
    </row>
    <row r="14" spans="1:42" x14ac:dyDescent="0.25">
      <c r="A14" t="s">
        <v>18</v>
      </c>
      <c r="B14" s="3">
        <v>1857.653892</v>
      </c>
      <c r="C14" s="3">
        <v>3064.3523420000001</v>
      </c>
      <c r="D14" s="3">
        <v>3964.8945680000002</v>
      </c>
      <c r="E14" s="3">
        <v>3906.1744210000002</v>
      </c>
      <c r="F14" s="3">
        <v>4058.235306</v>
      </c>
      <c r="G14" s="3">
        <v>4269.9347479999997</v>
      </c>
      <c r="H14" s="3">
        <v>4018.8134049999999</v>
      </c>
      <c r="I14" s="3">
        <v>3867.2756650000001</v>
      </c>
      <c r="J14" s="3">
        <v>5107.3856580000001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W14" t="s">
        <v>18</v>
      </c>
      <c r="X14" s="58">
        <f t="shared" si="2"/>
        <v>1.6495819566802274</v>
      </c>
      <c r="Y14" s="58">
        <f t="shared" si="0"/>
        <v>1.2938768540605374</v>
      </c>
      <c r="Z14" s="58">
        <f t="shared" si="0"/>
        <v>0.98518998525864454</v>
      </c>
      <c r="AA14" s="58">
        <f t="shared" si="0"/>
        <v>1.0389283397542375</v>
      </c>
      <c r="AB14" s="58">
        <f t="shared" si="0"/>
        <v>1.0521653935854847</v>
      </c>
      <c r="AC14" s="58">
        <f t="shared" si="0"/>
        <v>0.94118848230230623</v>
      </c>
      <c r="AD14" s="58">
        <f t="shared" si="0"/>
        <v>0.96229291466693523</v>
      </c>
      <c r="AE14" s="58">
        <f t="shared" si="0"/>
        <v>1.3206675966296806</v>
      </c>
      <c r="AF14" s="58"/>
      <c r="AG14" s="58" t="str">
        <f t="shared" si="0"/>
        <v/>
      </c>
      <c r="AH14" s="58" t="str">
        <f t="shared" si="0"/>
        <v/>
      </c>
      <c r="AI14" s="58" t="str">
        <f t="shared" si="0"/>
        <v/>
      </c>
      <c r="AJ14" s="58" t="str">
        <f t="shared" si="0"/>
        <v/>
      </c>
      <c r="AK14" s="58" t="str">
        <f t="shared" si="0"/>
        <v/>
      </c>
      <c r="AL14" s="58" t="str">
        <f t="shared" si="0"/>
        <v/>
      </c>
      <c r="AM14" s="58" t="str">
        <f t="shared" si="0"/>
        <v/>
      </c>
      <c r="AN14" s="58" t="str">
        <f t="shared" si="0"/>
        <v/>
      </c>
      <c r="AO14" s="58" t="str">
        <f t="shared" si="1"/>
        <v/>
      </c>
      <c r="AP14" s="58" t="str">
        <f t="shared" si="1"/>
        <v/>
      </c>
    </row>
    <row r="15" spans="1:42" x14ac:dyDescent="0.25">
      <c r="A15" t="s">
        <v>19</v>
      </c>
      <c r="B15" s="3">
        <v>1607.706719</v>
      </c>
      <c r="C15" s="3">
        <v>4000.340565</v>
      </c>
      <c r="D15" s="3">
        <v>4989.0850799999998</v>
      </c>
      <c r="E15" s="3">
        <v>4800.1831439999996</v>
      </c>
      <c r="F15" s="3">
        <v>4794.5331759999999</v>
      </c>
      <c r="G15" s="3">
        <v>5481.6437669999996</v>
      </c>
      <c r="H15" s="3">
        <v>4777.9785350000002</v>
      </c>
      <c r="I15" s="3">
        <v>4847.1499620000004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W15" t="s">
        <v>19</v>
      </c>
      <c r="X15" s="58">
        <f t="shared" si="2"/>
        <v>2.48822780779832</v>
      </c>
      <c r="Y15" s="58">
        <f t="shared" si="0"/>
        <v>1.2471650848057232</v>
      </c>
      <c r="Z15" s="58">
        <f t="shared" si="0"/>
        <v>0.96213695838596514</v>
      </c>
      <c r="AA15" s="58">
        <f t="shared" si="0"/>
        <v>0.99882296824298011</v>
      </c>
      <c r="AB15" s="58">
        <f t="shared" si="0"/>
        <v>1.1433112600908615</v>
      </c>
      <c r="AC15" s="58">
        <f t="shared" si="0"/>
        <v>0.87163244057628686</v>
      </c>
      <c r="AD15" s="58">
        <f t="shared" si="0"/>
        <v>1.0144771322209383</v>
      </c>
      <c r="AE15" s="58"/>
      <c r="AF15" s="58" t="str">
        <f t="shared" si="0"/>
        <v/>
      </c>
      <c r="AG15" s="58" t="str">
        <f t="shared" si="0"/>
        <v/>
      </c>
      <c r="AH15" s="58" t="str">
        <f t="shared" si="0"/>
        <v/>
      </c>
      <c r="AI15" s="58" t="str">
        <f t="shared" si="0"/>
        <v/>
      </c>
      <c r="AJ15" s="58" t="str">
        <f t="shared" si="0"/>
        <v/>
      </c>
      <c r="AK15" s="58" t="str">
        <f t="shared" si="0"/>
        <v/>
      </c>
      <c r="AL15" s="58" t="str">
        <f t="shared" si="0"/>
        <v/>
      </c>
      <c r="AM15" s="58" t="str">
        <f t="shared" si="0"/>
        <v/>
      </c>
      <c r="AN15" s="58" t="str">
        <f t="shared" si="0"/>
        <v/>
      </c>
      <c r="AO15" s="58" t="str">
        <f t="shared" si="1"/>
        <v/>
      </c>
      <c r="AP15" s="58" t="str">
        <f t="shared" si="1"/>
        <v/>
      </c>
    </row>
    <row r="16" spans="1:42" x14ac:dyDescent="0.25">
      <c r="A16" t="s">
        <v>20</v>
      </c>
      <c r="B16" s="3">
        <v>3120.317258</v>
      </c>
      <c r="C16" s="3">
        <v>3906.2209229999999</v>
      </c>
      <c r="D16" s="3">
        <v>7001.9387280000001</v>
      </c>
      <c r="E16" s="3">
        <v>9182.1756050000004</v>
      </c>
      <c r="F16" s="3">
        <v>9679.8029879999995</v>
      </c>
      <c r="G16" s="3">
        <v>7915.8269710000004</v>
      </c>
      <c r="H16" s="3">
        <v>10125.441360000001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W16" t="s">
        <v>20</v>
      </c>
      <c r="X16" s="58">
        <f t="shared" si="2"/>
        <v>1.2518665892018086</v>
      </c>
      <c r="Y16" s="58">
        <f t="shared" si="0"/>
        <v>1.7925096572936463</v>
      </c>
      <c r="Z16" s="58">
        <f t="shared" si="0"/>
        <v>1.3113761718995722</v>
      </c>
      <c r="AA16" s="58">
        <f t="shared" si="0"/>
        <v>1.0541949320517268</v>
      </c>
      <c r="AB16" s="58">
        <f t="shared" si="0"/>
        <v>0.81776736373800263</v>
      </c>
      <c r="AC16" s="58">
        <f t="shared" si="0"/>
        <v>1.2791387933433898</v>
      </c>
      <c r="AD16" s="58"/>
      <c r="AE16" s="58" t="str">
        <f t="shared" si="0"/>
        <v/>
      </c>
      <c r="AF16" s="58" t="str">
        <f t="shared" si="0"/>
        <v/>
      </c>
      <c r="AG16" s="58" t="str">
        <f t="shared" si="0"/>
        <v/>
      </c>
      <c r="AH16" s="58" t="str">
        <f t="shared" si="0"/>
        <v/>
      </c>
      <c r="AI16" s="58" t="str">
        <f t="shared" si="0"/>
        <v/>
      </c>
      <c r="AJ16" s="58" t="str">
        <f t="shared" si="0"/>
        <v/>
      </c>
      <c r="AK16" s="58" t="str">
        <f t="shared" si="0"/>
        <v/>
      </c>
      <c r="AL16" s="58" t="str">
        <f t="shared" si="0"/>
        <v/>
      </c>
      <c r="AM16" s="58" t="str">
        <f t="shared" si="0"/>
        <v/>
      </c>
      <c r="AN16" s="58" t="str">
        <f t="shared" si="0"/>
        <v/>
      </c>
      <c r="AO16" s="58" t="str">
        <f t="shared" si="1"/>
        <v/>
      </c>
      <c r="AP16" s="58" t="str">
        <f t="shared" si="1"/>
        <v/>
      </c>
    </row>
    <row r="17" spans="1:43" x14ac:dyDescent="0.25">
      <c r="A17" t="s">
        <v>21</v>
      </c>
      <c r="B17" s="3">
        <v>1186.749178</v>
      </c>
      <c r="C17" s="3">
        <v>1948.7160409999999</v>
      </c>
      <c r="D17" s="3">
        <v>3061.9691250000001</v>
      </c>
      <c r="E17" s="3">
        <v>4515.3247449999999</v>
      </c>
      <c r="F17" s="3">
        <v>4628.4054960000003</v>
      </c>
      <c r="G17" s="3">
        <v>4755.1345259999998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W17" t="s">
        <v>21</v>
      </c>
      <c r="X17" s="58">
        <f t="shared" si="2"/>
        <v>1.6420622631347632</v>
      </c>
      <c r="Y17" s="58">
        <f t="shared" si="0"/>
        <v>1.5712751681505763</v>
      </c>
      <c r="Z17" s="58">
        <f t="shared" si="0"/>
        <v>1.4746473790783243</v>
      </c>
      <c r="AA17" s="58">
        <f t="shared" si="0"/>
        <v>1.0250437692494254</v>
      </c>
      <c r="AB17" s="58">
        <f t="shared" si="0"/>
        <v>1.0273807102920265</v>
      </c>
      <c r="AC17" s="58"/>
      <c r="AD17" s="58" t="str">
        <f t="shared" si="0"/>
        <v/>
      </c>
      <c r="AE17" s="58" t="str">
        <f t="shared" si="0"/>
        <v/>
      </c>
      <c r="AF17" s="58" t="str">
        <f t="shared" si="0"/>
        <v/>
      </c>
      <c r="AG17" s="58" t="str">
        <f t="shared" si="0"/>
        <v/>
      </c>
      <c r="AH17" s="58" t="str">
        <f t="shared" si="0"/>
        <v/>
      </c>
      <c r="AI17" s="58" t="str">
        <f t="shared" si="0"/>
        <v/>
      </c>
      <c r="AJ17" s="58" t="str">
        <f t="shared" si="0"/>
        <v/>
      </c>
      <c r="AK17" s="58" t="str">
        <f t="shared" si="0"/>
        <v/>
      </c>
      <c r="AL17" s="58" t="str">
        <f t="shared" si="0"/>
        <v/>
      </c>
      <c r="AM17" s="58" t="str">
        <f t="shared" si="0"/>
        <v/>
      </c>
      <c r="AN17" s="58" t="str">
        <f t="shared" si="0"/>
        <v/>
      </c>
      <c r="AO17" s="58" t="str">
        <f t="shared" si="1"/>
        <v/>
      </c>
      <c r="AP17" s="58" t="str">
        <f t="shared" si="1"/>
        <v/>
      </c>
    </row>
    <row r="18" spans="1:43" x14ac:dyDescent="0.25">
      <c r="A18" t="s">
        <v>22</v>
      </c>
      <c r="B18" s="3">
        <v>508.12516470000003</v>
      </c>
      <c r="C18" s="3">
        <v>1844.156745</v>
      </c>
      <c r="D18" s="3">
        <v>4444.6536349999997</v>
      </c>
      <c r="E18" s="3">
        <v>6455.914597</v>
      </c>
      <c r="F18" s="3">
        <v>7419.1993769999999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W18" t="s">
        <v>22</v>
      </c>
      <c r="X18" s="58">
        <f t="shared" si="2"/>
        <v>3.6293355911408178</v>
      </c>
      <c r="Y18" s="58">
        <f t="shared" si="0"/>
        <v>2.4101279064540688</v>
      </c>
      <c r="Z18" s="58">
        <f t="shared" si="0"/>
        <v>1.45251241765209</v>
      </c>
      <c r="AA18" s="58">
        <f t="shared" si="0"/>
        <v>1.1492096534931904</v>
      </c>
      <c r="AB18" s="58"/>
      <c r="AC18" s="58" t="str">
        <f t="shared" si="0"/>
        <v/>
      </c>
      <c r="AD18" s="58" t="str">
        <f t="shared" si="0"/>
        <v/>
      </c>
      <c r="AE18" s="58" t="str">
        <f t="shared" si="0"/>
        <v/>
      </c>
      <c r="AF18" s="58" t="str">
        <f t="shared" si="0"/>
        <v/>
      </c>
      <c r="AG18" s="58" t="str">
        <f t="shared" si="0"/>
        <v/>
      </c>
      <c r="AH18" s="58" t="str">
        <f t="shared" si="0"/>
        <v/>
      </c>
      <c r="AI18" s="58" t="str">
        <f t="shared" si="0"/>
        <v/>
      </c>
      <c r="AJ18" s="58" t="str">
        <f t="shared" si="0"/>
        <v/>
      </c>
      <c r="AK18" s="58" t="str">
        <f t="shared" si="0"/>
        <v/>
      </c>
      <c r="AL18" s="58" t="str">
        <f t="shared" si="0"/>
        <v/>
      </c>
      <c r="AM18" s="58" t="str">
        <f t="shared" si="0"/>
        <v/>
      </c>
      <c r="AN18" s="58" t="str">
        <f t="shared" si="0"/>
        <v/>
      </c>
      <c r="AO18" s="58" t="str">
        <f t="shared" si="1"/>
        <v/>
      </c>
      <c r="AP18" s="58" t="str">
        <f t="shared" si="1"/>
        <v/>
      </c>
    </row>
    <row r="19" spans="1:43" x14ac:dyDescent="0.25">
      <c r="A19" t="s">
        <v>23</v>
      </c>
      <c r="B19" s="3">
        <v>631.91295530000002</v>
      </c>
      <c r="C19" s="3">
        <v>1950.552862</v>
      </c>
      <c r="D19" s="3">
        <v>2235.3182579999998</v>
      </c>
      <c r="E19" s="3">
        <v>4024.5331259999998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W19" t="s">
        <v>23</v>
      </c>
      <c r="X19" s="58">
        <f t="shared" si="2"/>
        <v>3.0867429535037418</v>
      </c>
      <c r="Y19" s="58">
        <f t="shared" si="0"/>
        <v>1.1459921448670791</v>
      </c>
      <c r="Z19" s="58">
        <f t="shared" si="0"/>
        <v>1.8004295860764181</v>
      </c>
      <c r="AA19" s="58"/>
      <c r="AB19" s="58" t="str">
        <f t="shared" si="0"/>
        <v/>
      </c>
      <c r="AC19" s="58" t="str">
        <f t="shared" si="0"/>
        <v/>
      </c>
      <c r="AD19" s="58" t="str">
        <f t="shared" si="0"/>
        <v/>
      </c>
      <c r="AE19" s="58" t="str">
        <f t="shared" si="0"/>
        <v/>
      </c>
      <c r="AF19" s="58" t="str">
        <f t="shared" si="0"/>
        <v/>
      </c>
      <c r="AG19" s="58" t="str">
        <f t="shared" si="0"/>
        <v/>
      </c>
      <c r="AH19" s="58" t="str">
        <f t="shared" si="0"/>
        <v/>
      </c>
      <c r="AI19" s="58" t="str">
        <f t="shared" si="0"/>
        <v/>
      </c>
      <c r="AJ19" s="58" t="str">
        <f t="shared" si="0"/>
        <v/>
      </c>
      <c r="AK19" s="58" t="str">
        <f t="shared" si="0"/>
        <v/>
      </c>
      <c r="AL19" s="58" t="str">
        <f t="shared" ref="AL19:AN37" si="3">IFERROR(Q19/P19,"")</f>
        <v/>
      </c>
      <c r="AM19" s="58" t="str">
        <f t="shared" si="3"/>
        <v/>
      </c>
      <c r="AN19" s="58" t="str">
        <f t="shared" si="3"/>
        <v/>
      </c>
      <c r="AO19" s="58" t="str">
        <f t="shared" si="1"/>
        <v/>
      </c>
      <c r="AP19" s="58" t="str">
        <f t="shared" si="1"/>
        <v/>
      </c>
    </row>
    <row r="20" spans="1:43" x14ac:dyDescent="0.25">
      <c r="A20" t="s">
        <v>24</v>
      </c>
      <c r="B20" s="3">
        <v>575.90153769999995</v>
      </c>
      <c r="C20" s="3">
        <v>3531.0095270000002</v>
      </c>
      <c r="D20" s="3">
        <v>8147.7663220000004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W20" t="s">
        <v>24</v>
      </c>
      <c r="X20" s="58">
        <f t="shared" si="2"/>
        <v>6.1312729622183824</v>
      </c>
      <c r="Y20" s="58">
        <f t="shared" si="2"/>
        <v>2.3074891924526941</v>
      </c>
      <c r="Z20" s="58"/>
      <c r="AA20" s="58" t="str">
        <f t="shared" ref="AA20:AK38" si="4">IFERROR(F20/E20,"")</f>
        <v/>
      </c>
      <c r="AB20" s="58" t="str">
        <f t="shared" si="4"/>
        <v/>
      </c>
      <c r="AC20" s="58" t="str">
        <f t="shared" si="4"/>
        <v/>
      </c>
      <c r="AD20" s="58" t="str">
        <f t="shared" si="4"/>
        <v/>
      </c>
      <c r="AE20" s="58" t="str">
        <f t="shared" si="4"/>
        <v/>
      </c>
      <c r="AF20" s="58" t="str">
        <f t="shared" si="4"/>
        <v/>
      </c>
      <c r="AG20" s="58" t="str">
        <f t="shared" si="4"/>
        <v/>
      </c>
      <c r="AH20" s="58" t="str">
        <f t="shared" si="4"/>
        <v/>
      </c>
      <c r="AI20" s="58" t="str">
        <f t="shared" si="4"/>
        <v/>
      </c>
      <c r="AJ20" s="58" t="str">
        <f t="shared" si="4"/>
        <v/>
      </c>
      <c r="AK20" s="58" t="str">
        <f t="shared" si="4"/>
        <v/>
      </c>
      <c r="AL20" s="58" t="str">
        <f t="shared" si="3"/>
        <v/>
      </c>
      <c r="AM20" s="58" t="str">
        <f t="shared" si="3"/>
        <v/>
      </c>
      <c r="AN20" s="58" t="str">
        <f t="shared" si="3"/>
        <v/>
      </c>
      <c r="AO20" s="58" t="str">
        <f t="shared" si="1"/>
        <v/>
      </c>
      <c r="AP20" s="58" t="str">
        <f t="shared" si="1"/>
        <v/>
      </c>
    </row>
    <row r="21" spans="1:43" x14ac:dyDescent="0.25">
      <c r="A21" t="s">
        <v>25</v>
      </c>
      <c r="B21" s="3">
        <v>1548.602932</v>
      </c>
      <c r="C21" s="3">
        <v>4806.7515240000002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W21" t="s">
        <v>25</v>
      </c>
      <c r="X21" s="58">
        <f t="shared" si="2"/>
        <v>3.1039276916466538</v>
      </c>
      <c r="Y21" s="58"/>
      <c r="Z21" s="58" t="str">
        <f t="shared" ref="Z21:Z39" si="5">IFERROR(E21/D21,"")</f>
        <v/>
      </c>
      <c r="AA21" s="58" t="str">
        <f t="shared" si="4"/>
        <v/>
      </c>
      <c r="AB21" s="58" t="str">
        <f t="shared" si="4"/>
        <v/>
      </c>
      <c r="AC21" s="58" t="str">
        <f t="shared" si="4"/>
        <v/>
      </c>
      <c r="AD21" s="58" t="str">
        <f t="shared" si="4"/>
        <v/>
      </c>
      <c r="AE21" s="58" t="str">
        <f t="shared" si="4"/>
        <v/>
      </c>
      <c r="AF21" s="58" t="str">
        <f t="shared" si="4"/>
        <v/>
      </c>
      <c r="AG21" s="58" t="str">
        <f t="shared" si="4"/>
        <v/>
      </c>
      <c r="AH21" s="58" t="str">
        <f t="shared" si="4"/>
        <v/>
      </c>
      <c r="AI21" s="58" t="str">
        <f t="shared" si="4"/>
        <v/>
      </c>
      <c r="AJ21" s="58" t="str">
        <f t="shared" si="4"/>
        <v/>
      </c>
      <c r="AK21" s="58" t="str">
        <f t="shared" si="4"/>
        <v/>
      </c>
      <c r="AL21" s="58" t="str">
        <f t="shared" si="3"/>
        <v/>
      </c>
      <c r="AM21" s="58" t="str">
        <f t="shared" si="3"/>
        <v/>
      </c>
      <c r="AN21" s="58" t="str">
        <f t="shared" si="3"/>
        <v/>
      </c>
      <c r="AO21" s="58" t="str">
        <f t="shared" si="1"/>
        <v/>
      </c>
      <c r="AP21" s="58" t="str">
        <f t="shared" si="1"/>
        <v/>
      </c>
    </row>
    <row r="22" spans="1:43" x14ac:dyDescent="0.25">
      <c r="A22" t="s">
        <v>26</v>
      </c>
      <c r="B22" s="3">
        <v>1877.010266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25">
      <c r="W23" s="5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</row>
    <row r="24" spans="1:43" x14ac:dyDescent="0.25">
      <c r="B24" s="6">
        <v>1</v>
      </c>
      <c r="C24" s="6">
        <f>B24+1</f>
        <v>2</v>
      </c>
      <c r="D24" s="6">
        <f t="shared" ref="D24:Q24" si="6">C24+1</f>
        <v>3</v>
      </c>
      <c r="E24" s="6">
        <f t="shared" si="6"/>
        <v>4</v>
      </c>
      <c r="F24" s="6">
        <f t="shared" si="6"/>
        <v>5</v>
      </c>
      <c r="G24" s="6">
        <f t="shared" si="6"/>
        <v>6</v>
      </c>
      <c r="H24" s="6">
        <f t="shared" si="6"/>
        <v>7</v>
      </c>
      <c r="I24" s="6">
        <f t="shared" si="6"/>
        <v>8</v>
      </c>
      <c r="J24" s="6">
        <f t="shared" si="6"/>
        <v>9</v>
      </c>
      <c r="K24" s="6">
        <f t="shared" si="6"/>
        <v>10</v>
      </c>
      <c r="L24" s="6">
        <f t="shared" si="6"/>
        <v>11</v>
      </c>
      <c r="M24" s="6">
        <f t="shared" si="6"/>
        <v>12</v>
      </c>
      <c r="N24" s="6">
        <f t="shared" si="6"/>
        <v>13</v>
      </c>
      <c r="O24" s="6">
        <f t="shared" si="6"/>
        <v>14</v>
      </c>
      <c r="P24" s="6">
        <f t="shared" si="6"/>
        <v>15</v>
      </c>
      <c r="Q24" s="6">
        <f t="shared" si="6"/>
        <v>16</v>
      </c>
      <c r="R24" s="6">
        <f>Q24+1</f>
        <v>17</v>
      </c>
      <c r="S24" s="6">
        <f t="shared" ref="S24:T24" si="7">R24+1</f>
        <v>18</v>
      </c>
      <c r="T24" s="6">
        <f t="shared" si="7"/>
        <v>19</v>
      </c>
      <c r="U24" s="6">
        <v>20</v>
      </c>
      <c r="W24" s="5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10"/>
    </row>
    <row r="25" spans="1:43" x14ac:dyDescent="0.25">
      <c r="A25" s="5" t="s">
        <v>28</v>
      </c>
      <c r="B25" s="7">
        <f t="array" ref="B25">SUM(IF(C3:C22&gt;0,C3:C22))</f>
        <v>79994.081434000007</v>
      </c>
      <c r="C25" s="7">
        <f t="array" ref="C25">SUM(IF(D3:D22&gt;0,D3:D22))</f>
        <v>97874.732548999993</v>
      </c>
      <c r="D25" s="7">
        <f t="array" ref="D25">SUM(IF(E3:E22&gt;0,E3:E22))</f>
        <v>94934.400504999998</v>
      </c>
      <c r="E25" s="7">
        <f t="array" ref="E25">SUM(IF(F3:F22&gt;0,F3:F22))</f>
        <v>94754.403665999998</v>
      </c>
      <c r="F25" s="7">
        <f t="array" ref="F25">SUM(IF(G3:G22&gt;0,G3:G22))</f>
        <v>89536.924996999995</v>
      </c>
      <c r="G25" s="7">
        <f t="array" ref="G25">SUM(IF(H3:H22&gt;0,H3:H22))</f>
        <v>85221.430109999987</v>
      </c>
      <c r="H25" s="7">
        <f t="array" ref="H25">SUM(IF(I3:I22&gt;0,I3:I22))</f>
        <v>76284.446867999999</v>
      </c>
      <c r="I25" s="7">
        <f t="array" ref="I25">SUM(IF(J3:J22&gt;0,J3:J22))</f>
        <v>73602.176562999986</v>
      </c>
      <c r="J25" s="7">
        <f t="array" ref="J25">SUM(IF(K3:K22&gt;0,K3:K22))</f>
        <v>67999.790873999998</v>
      </c>
      <c r="K25" s="7">
        <f t="array" ref="K25">SUM(IF(L3:L22&gt;0,L3:L22))</f>
        <v>63084.341393999995</v>
      </c>
      <c r="L25" s="7">
        <f t="array" ref="L25">SUM(IF(M3:M22&gt;0,M3:M22))</f>
        <v>60219.226011999992</v>
      </c>
      <c r="M25" s="7">
        <f t="array" ref="M25">SUM(IF(N3:N22&gt;0,N3:N22))</f>
        <v>61094.250375000003</v>
      </c>
      <c r="N25" s="7">
        <f t="array" ref="N25">SUM(IF(O3:O22&gt;0,O3:O22))</f>
        <v>51502.219535000004</v>
      </c>
      <c r="O25" s="7">
        <f t="array" ref="O25">SUM(IF(P3:P22&gt;0,P3:P22))</f>
        <v>43266.088168000002</v>
      </c>
      <c r="P25" s="7">
        <f t="array" ref="P25">SUM(IF(Q3:Q22&gt;0,Q3:Q22))</f>
        <v>36559.703254</v>
      </c>
      <c r="Q25" s="7">
        <f t="array" ref="Q25">SUM(IF(R3:R22&gt;0,R3:R22))</f>
        <v>29041.071403000002</v>
      </c>
      <c r="R25" s="7">
        <f t="array" ref="R25">SUM(IF(S3:S22&gt;0,S3:S22))</f>
        <v>23020.762415000001</v>
      </c>
      <c r="S25" s="7">
        <f t="array" ref="S25">SUM(IF(T3:T22&gt;0,T3:T22))</f>
        <v>15155.134136000001</v>
      </c>
      <c r="T25" s="7">
        <f t="array" ref="T25">SUM(IF(U3:U22&gt;0,U3:U22))</f>
        <v>9349.6867120000006</v>
      </c>
    </row>
    <row r="26" spans="1:43" x14ac:dyDescent="0.25">
      <c r="A26" s="5" t="s">
        <v>29</v>
      </c>
      <c r="B26" s="7">
        <f t="array" ref="B26">SUM(IF(C3:C22&gt;0,B3:B22))</f>
        <v>44031.693797000014</v>
      </c>
      <c r="C26" s="7">
        <f t="array" ref="C26">SUM(IF(D3:D22&gt;0,C3:C22))</f>
        <v>75187.32991</v>
      </c>
      <c r="D26" s="7">
        <f t="array" ref="D26">SUM(IF(E3:E22&gt;0,D3:D22))</f>
        <v>89726.966226999997</v>
      </c>
      <c r="E26" s="7">
        <f t="array" ref="E26">SUM(IF(F3:F22&gt;0,E3:E22))</f>
        <v>90909.867379000003</v>
      </c>
      <c r="F26" s="7">
        <f t="array" ref="F26">SUM(IF(G3:G22&gt;0,F3:F22))</f>
        <v>87335.204289000001</v>
      </c>
      <c r="G26" s="7">
        <f t="array" ref="G26">SUM(IF(H3:H22&gt;0,G3:G22))</f>
        <v>84781.790471</v>
      </c>
      <c r="H26" s="7">
        <f t="array" ref="H26">SUM(IF(I3:I22&gt;0,H3:H22))</f>
        <v>75095.98874999999</v>
      </c>
      <c r="I26" s="7">
        <f t="array" ref="I26">SUM(IF(J3:J22&gt;0,I3:I22))</f>
        <v>71437.296906000003</v>
      </c>
      <c r="J26" s="7">
        <f t="array" ref="J26">SUM(IF(K3:K22&gt;0,J3:J22))</f>
        <v>68494.790904999987</v>
      </c>
      <c r="K26" s="7">
        <f t="array" ref="K26">SUM(IF(L3:L22&gt;0,K3:K22))</f>
        <v>61174.082340999994</v>
      </c>
      <c r="L26" s="7">
        <f t="array" ref="L26">SUM(IF(M3:M22&gt;0,L3:L22))</f>
        <v>58483.674220999994</v>
      </c>
      <c r="M26" s="7">
        <f t="array" ref="M26">SUM(IF(N3:N22&gt;0,M3:M22))</f>
        <v>58136.422031999995</v>
      </c>
      <c r="N26" s="7">
        <f t="array" ref="N26">SUM(IF(O3:O22&gt;0,N3:N22))</f>
        <v>52450.135469000001</v>
      </c>
      <c r="O26" s="7">
        <f t="array" ref="O26">SUM(IF(P3:P22&gt;0,O3:O22))</f>
        <v>43998.596141000002</v>
      </c>
      <c r="P26" s="7">
        <f t="array" ref="P26">SUM(IF(Q3:Q22&gt;0,P3:P22))</f>
        <v>36284.865990999999</v>
      </c>
      <c r="Q26" s="7">
        <f t="array" ref="Q26">SUM(IF(R3:R22&gt;0,Q3:Q22))</f>
        <v>28051.652613000002</v>
      </c>
      <c r="R26" s="7">
        <f t="array" ref="R26">SUM(IF(S3:S22&gt;0,R3:R22))</f>
        <v>22990.385114000001</v>
      </c>
      <c r="S26" s="7">
        <f t="array" ref="S26">SUM(IF(T3:T22&gt;0,S3:S22))</f>
        <v>15199.880493000001</v>
      </c>
      <c r="T26" s="7">
        <f t="array" ref="T26">SUM(IF(U3:U22&gt;0,T3:T22))</f>
        <v>9388.4575879999993</v>
      </c>
    </row>
    <row r="27" spans="1:43" x14ac:dyDescent="0.25">
      <c r="A27" s="5" t="s">
        <v>30</v>
      </c>
      <c r="B27" s="8">
        <f>B25/B26</f>
        <v>1.8167386837944035</v>
      </c>
      <c r="C27" s="8">
        <f t="shared" ref="C27:R27" si="8">C25/C26</f>
        <v>1.3017450236117847</v>
      </c>
      <c r="D27" s="8">
        <f t="shared" si="8"/>
        <v>1.0580364465329823</v>
      </c>
      <c r="E27" s="8">
        <f t="shared" si="8"/>
        <v>1.0422895379549093</v>
      </c>
      <c r="F27" s="8">
        <f t="shared" si="8"/>
        <v>1.0252100023801891</v>
      </c>
      <c r="G27" s="8">
        <f t="shared" si="8"/>
        <v>1.0051855432228736</v>
      </c>
      <c r="H27" s="8">
        <f t="shared" si="8"/>
        <v>1.0158258535213709</v>
      </c>
      <c r="I27" s="8">
        <f t="shared" si="8"/>
        <v>1.0303046132869307</v>
      </c>
      <c r="J27" s="8">
        <f t="shared" si="8"/>
        <v>0.99277317260977505</v>
      </c>
      <c r="K27" s="8">
        <f t="shared" si="8"/>
        <v>1.0312266074111538</v>
      </c>
      <c r="L27" s="8">
        <f t="shared" si="8"/>
        <v>1.0296758337111591</v>
      </c>
      <c r="M27" s="8">
        <f t="shared" si="8"/>
        <v>1.0508773715274726</v>
      </c>
      <c r="N27" s="8">
        <f t="shared" si="8"/>
        <v>0.98192729293215553</v>
      </c>
      <c r="O27" s="8">
        <f t="shared" si="8"/>
        <v>0.98335156033950333</v>
      </c>
      <c r="P27" s="8">
        <f t="shared" si="8"/>
        <v>1.007574432356128</v>
      </c>
      <c r="Q27" s="8">
        <f t="shared" si="8"/>
        <v>1.0352713190787723</v>
      </c>
      <c r="R27" s="8">
        <f t="shared" si="8"/>
        <v>1.001321304573602</v>
      </c>
      <c r="S27" s="8">
        <f>S25/S26</f>
        <v>0.99705613757814693</v>
      </c>
      <c r="T27" s="8">
        <f t="shared" ref="T27" si="9">T25/T26</f>
        <v>0.99587036788134886</v>
      </c>
    </row>
    <row r="28" spans="1:43" x14ac:dyDescent="0.25">
      <c r="A28" s="5" t="s">
        <v>31</v>
      </c>
      <c r="B28" s="9">
        <f>1/PRODUCT(B27:$T$27)</f>
        <v>0.32046203297110881</v>
      </c>
      <c r="C28" s="9">
        <f>1/PRODUCT(C27:$T$27)</f>
        <v>0.5821957719860108</v>
      </c>
      <c r="D28" s="9">
        <f>1/PRODUCT(D27:$T$27)</f>
        <v>0.75787044895061118</v>
      </c>
      <c r="E28" s="9">
        <f>1/PRODUCT(E27:$T$27)</f>
        <v>0.80185455674006056</v>
      </c>
      <c r="F28" s="9">
        <f>1/PRODUCT(F27:$T$27)</f>
        <v>0.83576461545163616</v>
      </c>
      <c r="G28" s="9">
        <f>1/PRODUCT(G27:$T$27)</f>
        <v>0.85683424339644976</v>
      </c>
      <c r="H28" s="9">
        <f>1/PRODUCT(H27:$T$27)</f>
        <v>0.86127739440042028</v>
      </c>
      <c r="I28" s="9">
        <f>1/PRODUCT(I27:$T$27)</f>
        <v>0.87490784428546942</v>
      </c>
      <c r="J28" s="9">
        <f>1/PRODUCT(J27:$T$27)</f>
        <v>0.90142158816824269</v>
      </c>
      <c r="K28" s="9">
        <f>1/PRODUCT(K27:$T$27)</f>
        <v>0.8949071699447283</v>
      </c>
      <c r="L28" s="9">
        <f>1/PRODUCT(L27:$T$27)</f>
        <v>0.92285208481001901</v>
      </c>
      <c r="M28" s="9">
        <f>1/PRODUCT(M27:$T$27)</f>
        <v>0.95023848981883741</v>
      </c>
      <c r="N28" s="9">
        <f>1/PRODUCT(N27:$T$27)</f>
        <v>0.99858412650505535</v>
      </c>
      <c r="O28" s="9">
        <f>1/PRODUCT(O27:$T$27)</f>
        <v>0.98053700810412991</v>
      </c>
      <c r="P28" s="9">
        <f>1/PRODUCT(P27:$T$27)</f>
        <v>0.96421259688982441</v>
      </c>
      <c r="Q28" s="9">
        <f>1/PRODUCT(Q27:$T$27)</f>
        <v>0.97151595998189288</v>
      </c>
      <c r="R28" s="9">
        <f>1/PRODUCT(R27:$T$27)</f>
        <v>1.0057826093965341</v>
      </c>
      <c r="S28" s="9">
        <f>1/PRODUCT(S27:$T$27)</f>
        <v>1.0071115545583791</v>
      </c>
      <c r="T28" s="9">
        <f>1/PRODUCT(T27:$T$27)</f>
        <v>1.0041467566983007</v>
      </c>
      <c r="U28" s="10">
        <v>1</v>
      </c>
    </row>
    <row r="30" spans="1:43" ht="15.75" thickBot="1" x14ac:dyDescent="0.3">
      <c r="A30" s="15" t="s">
        <v>6</v>
      </c>
      <c r="B30" s="16" t="s">
        <v>5</v>
      </c>
      <c r="C30" s="16" t="s">
        <v>33</v>
      </c>
      <c r="D30" s="16" t="s">
        <v>32</v>
      </c>
      <c r="E30" s="16" t="s">
        <v>31</v>
      </c>
      <c r="F30" s="16" t="s">
        <v>34</v>
      </c>
      <c r="G30" s="16" t="s">
        <v>35</v>
      </c>
      <c r="H30" s="16" t="s">
        <v>36</v>
      </c>
      <c r="I30" s="16" t="s">
        <v>37</v>
      </c>
      <c r="J30" s="16" t="s">
        <v>39</v>
      </c>
      <c r="K30" s="16" t="s">
        <v>40</v>
      </c>
      <c r="L30" s="18" t="s">
        <v>41</v>
      </c>
      <c r="M30" s="18" t="s">
        <v>66</v>
      </c>
    </row>
    <row r="31" spans="1:43" ht="15.75" thickBot="1" x14ac:dyDescent="0.3">
      <c r="A31" s="11">
        <v>1</v>
      </c>
      <c r="B31" s="12" t="s">
        <v>7</v>
      </c>
      <c r="C31" s="17">
        <v>25728.2402</v>
      </c>
      <c r="D31" s="13">
        <f ca="1">OFFSET($U$3,(ROWS($U$4:U4)-1),-(ROWS($U$4:U4)-1),1,1)</f>
        <v>9349.6867120000006</v>
      </c>
      <c r="E31" s="14">
        <f ca="1">OFFSET($U$28,0,-(ROWS($I$30:I30)-1),1,1)</f>
        <v>1</v>
      </c>
      <c r="F31" s="17">
        <f ca="1">D31/E31-D31</f>
        <v>0</v>
      </c>
      <c r="G31" s="17">
        <f ca="1">F31+D31</f>
        <v>9349.6867120000006</v>
      </c>
      <c r="H31" s="14">
        <f ca="1">G31/C31</f>
        <v>0.36340171886299477</v>
      </c>
      <c r="I31" s="14">
        <f t="array" aca="1" ref="I31" ca="1">SUM($D$31:$D$50*$P$31^ABS(A31-$A$31:$A$50)*$M$31:$M$50)/SUM($C$31:$C$50*$E$31:$E$50*$P$31^ABS(A31-$A$31:$A$50)*$M$31:$M$50)</f>
        <v>0.38117044792110383</v>
      </c>
      <c r="J31" s="19">
        <f ca="1">(1-E31)*I31*C31</f>
        <v>0</v>
      </c>
      <c r="K31" s="13">
        <f ca="1">J31+D31</f>
        <v>9349.6867120000006</v>
      </c>
      <c r="L31" s="14">
        <f ca="1">K31/C31</f>
        <v>0.36340171886299477</v>
      </c>
      <c r="M31" s="13">
        <f ca="1">IF(H31&lt;30%,0,1)</f>
        <v>1</v>
      </c>
      <c r="O31" s="25" t="s">
        <v>38</v>
      </c>
      <c r="P31" s="26">
        <v>0.8</v>
      </c>
    </row>
    <row r="32" spans="1:43" x14ac:dyDescent="0.25">
      <c r="A32" s="11">
        <f>A31+1</f>
        <v>2</v>
      </c>
      <c r="B32" s="12" t="s">
        <v>8</v>
      </c>
      <c r="C32" s="17">
        <v>25975.350200000001</v>
      </c>
      <c r="D32" s="13">
        <f ca="1">OFFSET($U$3,(ROWS($U$4:U5)-1),-(ROWS($U$4:U5)-1),1,1)</f>
        <v>5766.6765480000004</v>
      </c>
      <c r="E32" s="14">
        <f ca="1">OFFSET($U$28,0,-(ROWS($I$30:I31)-1),1,1)</f>
        <v>1.0041467566983007</v>
      </c>
      <c r="F32" s="17">
        <f t="shared" ref="F32:F50" ca="1" si="10">D32/E32-D32</f>
        <v>-23.814252690493049</v>
      </c>
      <c r="G32" s="17">
        <f t="shared" ref="G32:G50" ca="1" si="11">F32+D32</f>
        <v>5742.8622953095073</v>
      </c>
      <c r="H32" s="14">
        <f t="shared" ref="H32:H50" ca="1" si="12">G32/C32</f>
        <v>0.22108892665899485</v>
      </c>
      <c r="I32" s="14">
        <f t="array" aca="1" ref="I32" ca="1">SUM($D$31:$D$50*$P$31^ABS(A32-$A$31:$A$50)*$M$31:$M$50)/SUM($C$31:$C$50*$E$31:$E$50*$P$31^ABS(A32-$A$31:$A$50)*$M$31:$M$50)</f>
        <v>0.38383005524800534</v>
      </c>
      <c r="J32" s="19">
        <f t="shared" ref="J32:J50" ca="1" si="13">(1-E32)*I32*C32</f>
        <v>-41.343662317291496</v>
      </c>
      <c r="K32" s="13">
        <f t="shared" ref="K32:K50" ca="1" si="14">J32+D32</f>
        <v>5725.3328856827093</v>
      </c>
      <c r="L32" s="14">
        <f t="shared" ref="L32:L50" ca="1" si="15">K32/C32</f>
        <v>0.22041407879392938</v>
      </c>
      <c r="M32" s="13">
        <f t="shared" ref="M32:M50" ca="1" si="16">IF(H32&lt;30%,0,1)</f>
        <v>0</v>
      </c>
    </row>
    <row r="33" spans="1:42" x14ac:dyDescent="0.25">
      <c r="A33" s="11">
        <f t="shared" ref="A33:A50" si="17">A32+1</f>
        <v>3</v>
      </c>
      <c r="B33" s="12" t="s">
        <v>9</v>
      </c>
      <c r="C33" s="17">
        <v>24954.4902</v>
      </c>
      <c r="D33" s="13">
        <f ca="1">OFFSET($U$3,(ROWS($U$4:U6)-1),-(ROWS($U$4:U6)-1),1,1)</f>
        <v>7820.8819219999996</v>
      </c>
      <c r="E33" s="14">
        <f ca="1">OFFSET($U$28,0,-(ROWS($I$30:I32)-1),1,1)</f>
        <v>1.0071115545583791</v>
      </c>
      <c r="F33" s="17">
        <f t="shared" ca="1" si="10"/>
        <v>-55.225886577512938</v>
      </c>
      <c r="G33" s="17">
        <f t="shared" ca="1" si="11"/>
        <v>7765.6560354224866</v>
      </c>
      <c r="H33" s="14">
        <f t="shared" ca="1" si="12"/>
        <v>0.31119273418066007</v>
      </c>
      <c r="I33" s="14">
        <f t="array" aca="1" ref="I33" ca="1">SUM($D$31:$D$50*$P$31^ABS(A33-$A$31:$A$50)*$M$31:$M$50)/SUM($C$31:$C$50*$E$31:$E$50*$P$31^ABS(A33-$A$31:$A$50)*$M$31:$M$50)</f>
        <v>0.38599430334574947</v>
      </c>
      <c r="J33" s="19">
        <f t="shared" ca="1" si="13"/>
        <v>-68.500563396069296</v>
      </c>
      <c r="K33" s="13">
        <f t="shared" ca="1" si="14"/>
        <v>7752.3813586039305</v>
      </c>
      <c r="L33" s="14">
        <f t="shared" ca="1" si="15"/>
        <v>0.3106607787404902</v>
      </c>
      <c r="M33" s="13">
        <f t="shared" ca="1" si="16"/>
        <v>1</v>
      </c>
    </row>
    <row r="34" spans="1:42" x14ac:dyDescent="0.25">
      <c r="A34" s="11">
        <f t="shared" si="17"/>
        <v>4</v>
      </c>
      <c r="B34" s="12" t="s">
        <v>10</v>
      </c>
      <c r="C34" s="17">
        <v>24478.190200000001</v>
      </c>
      <c r="D34" s="13">
        <f ca="1">OFFSET($U$3,(ROWS($U$4:U7)-1),-(ROWS($U$4:U7)-1),1,1)</f>
        <v>6050.6862890000002</v>
      </c>
      <c r="E34" s="14">
        <f ca="1">OFFSET($U$28,0,-(ROWS($I$30:I33)-1),1,1)</f>
        <v>1.0057826093965341</v>
      </c>
      <c r="F34" s="17">
        <f t="shared" ca="1" si="10"/>
        <v>-34.787592331949782</v>
      </c>
      <c r="G34" s="17">
        <f t="shared" ca="1" si="11"/>
        <v>6015.8986966680504</v>
      </c>
      <c r="H34" s="14">
        <f t="shared" ca="1" si="12"/>
        <v>0.24576566517029719</v>
      </c>
      <c r="I34" s="14">
        <f t="array" aca="1" ref="I34" ca="1">SUM($D$31:$D$50*$P$31^ABS(A34-$A$31:$A$50)*$M$31:$M$50)/SUM($C$31:$C$50*$E$31:$E$50*$P$31^ABS(A34-$A$31:$A$50)*$M$31:$M$50)</f>
        <v>0.39718392700923832</v>
      </c>
      <c r="J34" s="19">
        <f t="shared" ca="1" si="13"/>
        <v>-56.220516092132243</v>
      </c>
      <c r="K34" s="13">
        <f t="shared" ca="1" si="14"/>
        <v>5994.4657729078681</v>
      </c>
      <c r="L34" s="14">
        <f t="shared" ca="1" si="15"/>
        <v>0.24489007250658049</v>
      </c>
      <c r="M34" s="13">
        <f t="shared" ca="1" si="16"/>
        <v>0</v>
      </c>
    </row>
    <row r="35" spans="1:42" x14ac:dyDescent="0.25">
      <c r="A35" s="11">
        <f t="shared" si="17"/>
        <v>5</v>
      </c>
      <c r="B35" s="12" t="s">
        <v>11</v>
      </c>
      <c r="C35" s="17">
        <v>23899.440200000001</v>
      </c>
      <c r="D35" s="13">
        <f ca="1">OFFSET($U$3,(ROWS($U$4:U8)-1),-(ROWS($U$4:U8)-1),1,1)</f>
        <v>8508.0506409999998</v>
      </c>
      <c r="E35" s="14">
        <f ca="1">OFFSET($U$28,0,-(ROWS($I$30:I34)-1),1,1)</f>
        <v>0.97151595998189288</v>
      </c>
      <c r="F35" s="17">
        <f t="shared" ca="1" si="10"/>
        <v>249.44896936005352</v>
      </c>
      <c r="G35" s="17">
        <f t="shared" ca="1" si="11"/>
        <v>8757.4996103600533</v>
      </c>
      <c r="H35" s="14">
        <f t="shared" ca="1" si="12"/>
        <v>0.36643116060768877</v>
      </c>
      <c r="I35" s="14">
        <f t="array" aca="1" ref="I35" ca="1">SUM($D$31:$D$50*$P$31^ABS(A35-$A$31:$A$50)*$M$31:$M$50)/SUM($C$31:$C$50*$E$31:$E$50*$P$31^ABS(A35-$A$31:$A$50)*$M$31:$M$50)</f>
        <v>0.40714296585232029</v>
      </c>
      <c r="J35" s="19">
        <f t="shared" ca="1" si="13"/>
        <v>277.16363708159378</v>
      </c>
      <c r="K35" s="13">
        <f t="shared" ca="1" si="14"/>
        <v>8785.2142780815939</v>
      </c>
      <c r="L35" s="14">
        <f t="shared" ca="1" si="15"/>
        <v>0.36759079729748623</v>
      </c>
      <c r="M35" s="13">
        <f t="shared" ca="1" si="16"/>
        <v>1</v>
      </c>
    </row>
    <row r="36" spans="1:42" x14ac:dyDescent="0.25">
      <c r="A36" s="11">
        <f t="shared" si="17"/>
        <v>6</v>
      </c>
      <c r="B36" s="12" t="s">
        <v>12</v>
      </c>
      <c r="C36" s="17">
        <v>21730.250199999999</v>
      </c>
      <c r="D36" s="13">
        <f ca="1">OFFSET($U$3,(ROWS($U$4:U9)-1),-(ROWS($U$4:U9)-1),1,1)</f>
        <v>6981.2221769999996</v>
      </c>
      <c r="E36" s="14">
        <f ca="1">OFFSET($U$28,0,-(ROWS($I$30:I35)-1),1,1)</f>
        <v>0.96421259688982441</v>
      </c>
      <c r="F36" s="17">
        <f t="shared" ca="1" si="10"/>
        <v>259.11278597259843</v>
      </c>
      <c r="G36" s="17">
        <f t="shared" ca="1" si="11"/>
        <v>7240.3349629725981</v>
      </c>
      <c r="H36" s="14">
        <f t="shared" ca="1" si="12"/>
        <v>0.33319151396483226</v>
      </c>
      <c r="I36" s="14">
        <f t="array" aca="1" ref="I36" ca="1">SUM($D$31:$D$50*$P$31^ABS(A36-$A$31:$A$50)*$M$31:$M$50)/SUM($C$31:$C$50*$E$31:$E$50*$P$31^ABS(A36-$A$31:$A$50)*$M$31:$M$50)</f>
        <v>0.4203687136356552</v>
      </c>
      <c r="J36" s="19">
        <f t="shared" ca="1" si="13"/>
        <v>326.90781115556479</v>
      </c>
      <c r="K36" s="13">
        <f t="shared" ca="1" si="14"/>
        <v>7308.1299881555642</v>
      </c>
      <c r="L36" s="14">
        <f t="shared" ca="1" si="15"/>
        <v>0.33631135955146824</v>
      </c>
      <c r="M36" s="13">
        <f t="shared" ca="1" si="16"/>
        <v>1</v>
      </c>
    </row>
    <row r="37" spans="1:42" x14ac:dyDescent="0.25">
      <c r="A37" s="11">
        <f t="shared" si="17"/>
        <v>7</v>
      </c>
      <c r="B37" s="12" t="s">
        <v>13</v>
      </c>
      <c r="C37" s="17">
        <v>15231.760200000001</v>
      </c>
      <c r="D37" s="13">
        <f ca="1">OFFSET($U$3,(ROWS($U$4:U10)-1),-(ROWS($U$4:U10)-1),1,1)</f>
        <v>7503.6233940000002</v>
      </c>
      <c r="E37" s="14">
        <f ca="1">OFFSET($U$28,0,-(ROWS($I$30:I36)-1),1,1)</f>
        <v>0.98053700810412991</v>
      </c>
      <c r="F37" s="17">
        <f t="shared" ca="1" si="10"/>
        <v>148.94181463834593</v>
      </c>
      <c r="G37" s="17">
        <f t="shared" ca="1" si="11"/>
        <v>7652.5652086383461</v>
      </c>
      <c r="H37" s="14">
        <f t="shared" ca="1" si="12"/>
        <v>0.50240846154066587</v>
      </c>
      <c r="I37" s="14">
        <f t="array" aca="1" ref="I37" ca="1">SUM($D$31:$D$50*$P$31^ABS(A37-$A$31:$A$50)*$M$31:$M$50)/SUM($C$31:$C$50*$E$31:$E$50*$P$31^ABS(A37-$A$31:$A$50)*$M$31:$M$50)</f>
        <v>0.44199625812423349</v>
      </c>
      <c r="J37" s="19">
        <f t="shared" ca="1" si="13"/>
        <v>131.03227709681667</v>
      </c>
      <c r="K37" s="13">
        <f t="shared" ca="1" si="14"/>
        <v>7634.6556710968171</v>
      </c>
      <c r="L37" s="14">
        <f t="shared" ca="1" si="15"/>
        <v>0.50123265931516026</v>
      </c>
      <c r="M37" s="13">
        <f t="shared" ca="1" si="16"/>
        <v>1</v>
      </c>
    </row>
    <row r="38" spans="1:42" x14ac:dyDescent="0.25">
      <c r="A38" s="11">
        <f t="shared" si="17"/>
        <v>8</v>
      </c>
      <c r="B38" s="12" t="s">
        <v>14</v>
      </c>
      <c r="C38" s="17">
        <v>11990.020200000001</v>
      </c>
      <c r="D38" s="13">
        <f ca="1">OFFSET($U$3,(ROWS($U$4:U11)-1),-(ROWS($U$4:U11)-1),1,1)</f>
        <v>8644.1149060000007</v>
      </c>
      <c r="E38" s="14">
        <f ca="1">OFFSET($U$28,0,-(ROWS($I$30:I37)-1),1,1)</f>
        <v>0.99858412650505535</v>
      </c>
      <c r="F38" s="17">
        <f t="shared" ca="1" si="10"/>
        <v>12.256326590626486</v>
      </c>
      <c r="G38" s="17">
        <f t="shared" ca="1" si="11"/>
        <v>8656.3712325906272</v>
      </c>
      <c r="H38" s="14">
        <f t="shared" ca="1" si="12"/>
        <v>0.72196469131808694</v>
      </c>
      <c r="I38" s="14">
        <f t="array" aca="1" ref="I38" ca="1">SUM($D$31:$D$50*$P$31^ABS(A38-$A$31:$A$50)*$M$31:$M$50)/SUM($C$31:$C$50*$E$31:$E$50*$P$31^ABS(A38-$A$31:$A$50)*$M$31:$M$50)</f>
        <v>0.46077199978614453</v>
      </c>
      <c r="J38" s="19">
        <f t="shared" ca="1" si="13"/>
        <v>7.822227570277251</v>
      </c>
      <c r="K38" s="13">
        <f t="shared" ca="1" si="14"/>
        <v>8651.9371335702781</v>
      </c>
      <c r="L38" s="14">
        <f t="shared" ca="1" si="15"/>
        <v>0.72159487550907353</v>
      </c>
      <c r="M38" s="13">
        <f t="shared" ca="1" si="16"/>
        <v>1</v>
      </c>
      <c r="T38" s="51" t="s">
        <v>46</v>
      </c>
      <c r="U38" s="51" t="s">
        <v>52</v>
      </c>
      <c r="V38" s="50" t="str">
        <f t="array" ref="V38:AO38">TRANSPOSE(B31:B51)</f>
        <v>201003</v>
      </c>
      <c r="W38" s="50" t="str">
        <v>201006</v>
      </c>
      <c r="X38" s="50" t="str">
        <v>201009</v>
      </c>
      <c r="Y38" s="50" t="str">
        <v>201012</v>
      </c>
      <c r="Z38" s="50" t="str">
        <v>201103</v>
      </c>
      <c r="AA38" s="50" t="str">
        <v>201106</v>
      </c>
      <c r="AB38" s="50" t="str">
        <v>201109</v>
      </c>
      <c r="AC38" s="50" t="str">
        <v>201112</v>
      </c>
      <c r="AD38" s="50" t="str">
        <v>201203</v>
      </c>
      <c r="AE38" s="50" t="str">
        <v>201206</v>
      </c>
      <c r="AF38" s="50" t="str">
        <v>201209</v>
      </c>
      <c r="AG38" s="50" t="str">
        <v>201212</v>
      </c>
      <c r="AH38" s="50" t="str">
        <v>201303</v>
      </c>
      <c r="AI38" s="50" t="str">
        <v>201306</v>
      </c>
      <c r="AJ38" s="50" t="str">
        <v>201309</v>
      </c>
      <c r="AK38" s="50" t="str">
        <v>201312</v>
      </c>
      <c r="AL38" s="50" t="str">
        <v>201403</v>
      </c>
      <c r="AM38" s="50" t="str">
        <v>201406</v>
      </c>
      <c r="AN38" s="50" t="str">
        <v>201409</v>
      </c>
      <c r="AO38" s="50" t="str">
        <v>201412</v>
      </c>
      <c r="AP38" s="50" t="s">
        <v>57</v>
      </c>
    </row>
    <row r="39" spans="1:42" x14ac:dyDescent="0.25">
      <c r="A39" s="11">
        <f t="shared" si="17"/>
        <v>9</v>
      </c>
      <c r="B39" s="12" t="s">
        <v>15</v>
      </c>
      <c r="C39" s="17">
        <v>11731.1402</v>
      </c>
      <c r="D39" s="13">
        <f ca="1">OFFSET($U$3,(ROWS($U$4:U12)-1),-(ROWS($U$4:U12)-1),1,1)</f>
        <v>2082.8039800000001</v>
      </c>
      <c r="E39" s="14">
        <f ca="1">OFFSET($U$28,0,-(ROWS($I$30:I38)-1),1,1)</f>
        <v>0.95023848981883741</v>
      </c>
      <c r="F39" s="17">
        <f t="shared" ca="1" si="10"/>
        <v>109.07100961138258</v>
      </c>
      <c r="G39" s="17">
        <f t="shared" ca="1" si="11"/>
        <v>2191.8749896113827</v>
      </c>
      <c r="H39" s="14">
        <f t="shared" ca="1" si="12"/>
        <v>0.18684245113798767</v>
      </c>
      <c r="I39" s="14">
        <f t="array" aca="1" ref="I39" ca="1">SUM($D$31:$D$50*$P$31^ABS(A39-$A$31:$A$50)*$M$31:$M$50)/SUM($C$31:$C$50*$E$31:$E$50*$P$31^ABS(A39-$A$31:$A$50)*$M$31:$M$50)</f>
        <v>0.46563986849036387</v>
      </c>
      <c r="J39" s="19">
        <f t="shared" ca="1" si="13"/>
        <v>271.82158156364221</v>
      </c>
      <c r="K39" s="13">
        <f t="shared" ca="1" si="14"/>
        <v>2354.6255615636423</v>
      </c>
      <c r="L39" s="14">
        <f t="shared" ca="1" si="15"/>
        <v>0.20071583166004975</v>
      </c>
      <c r="M39" s="13">
        <f t="shared" ca="1" si="16"/>
        <v>0</v>
      </c>
      <c r="S39" s="4">
        <v>1E-4</v>
      </c>
      <c r="T39" s="53">
        <v>5160.8488283432116</v>
      </c>
      <c r="U39" s="53">
        <v>-6368.6523338985608</v>
      </c>
      <c r="V39" s="14">
        <v>0.36750314098335873</v>
      </c>
      <c r="W39" s="14">
        <v>0.22360616338896205</v>
      </c>
      <c r="X39" s="14">
        <v>0.31213611634502886</v>
      </c>
      <c r="Y39" s="14">
        <v>0.24019259388891381</v>
      </c>
      <c r="Z39" s="14">
        <v>0.36228628988442541</v>
      </c>
      <c r="AA39" s="14">
        <v>0.33400362553051194</v>
      </c>
      <c r="AB39" s="14">
        <v>0.58286298468722042</v>
      </c>
      <c r="AC39" s="14">
        <v>0.78304365440260337</v>
      </c>
      <c r="AD39" s="14">
        <v>0.21387225977326094</v>
      </c>
      <c r="AE39" s="14">
        <v>0.4317747025765129</v>
      </c>
      <c r="AF39" s="14">
        <v>0.57158470257344074</v>
      </c>
      <c r="AG39" s="14">
        <v>0.3902920081437265</v>
      </c>
      <c r="AH39" s="14">
        <v>0.348099049501365</v>
      </c>
      <c r="AI39" s="14">
        <v>0.80457034590996035</v>
      </c>
      <c r="AJ39" s="14">
        <v>0.30150212860519926</v>
      </c>
      <c r="AK39" s="14">
        <v>0.47881924041994733</v>
      </c>
      <c r="AL39" s="14">
        <v>0.32234729294835096</v>
      </c>
      <c r="AM39" s="14">
        <v>0.61952822451029355</v>
      </c>
      <c r="AN39" s="14">
        <v>0.39022383843740582</v>
      </c>
      <c r="AO39" s="14">
        <v>0.31527530096537953</v>
      </c>
      <c r="AP39" s="52">
        <v>2.7504915927204946E-2</v>
      </c>
    </row>
    <row r="40" spans="1:42" x14ac:dyDescent="0.25">
      <c r="A40" s="11">
        <f t="shared" si="17"/>
        <v>10</v>
      </c>
      <c r="B40" s="12" t="s">
        <v>16</v>
      </c>
      <c r="C40" s="17">
        <v>11502.870199999999</v>
      </c>
      <c r="D40" s="13">
        <f ca="1">OFFSET($U$3,(ROWS($U$4:U13)-1),-(ROWS($U$4:U13)-1),1,1)</f>
        <v>4600.6671729999998</v>
      </c>
      <c r="E40" s="14">
        <f ca="1">OFFSET($U$28,0,-(ROWS($I$30:I39)-1),1,1)</f>
        <v>0.92285208481001901</v>
      </c>
      <c r="F40" s="17">
        <f t="shared" ca="1" si="10"/>
        <v>384.60321726747861</v>
      </c>
      <c r="G40" s="17">
        <f t="shared" ca="1" si="11"/>
        <v>4985.2703902674784</v>
      </c>
      <c r="H40" s="14">
        <f t="shared" ca="1" si="12"/>
        <v>0.43339360556006956</v>
      </c>
      <c r="I40" s="14">
        <f t="array" aca="1" ref="I40" ca="1">SUM($D$31:$D$50*$P$31^ABS(A40-$A$31:$A$50)*$M$31:$M$50)/SUM($C$31:$C$50*$E$31:$E$50*$P$31^ABS(A40-$A$31:$A$50)*$M$31:$M$50)</f>
        <v>0.47078812339018805</v>
      </c>
      <c r="J40" s="19">
        <f t="shared" ca="1" si="13"/>
        <v>417.78795207002378</v>
      </c>
      <c r="K40" s="13">
        <f t="shared" ca="1" si="14"/>
        <v>5018.4551250700233</v>
      </c>
      <c r="L40" s="14">
        <f t="shared" ca="1" si="15"/>
        <v>0.43627851465019779</v>
      </c>
      <c r="M40" s="13">
        <f t="shared" ca="1" si="16"/>
        <v>1</v>
      </c>
      <c r="S40" s="48">
        <v>0.05</v>
      </c>
      <c r="T40" s="53">
        <v>5062.6542557870207</v>
      </c>
      <c r="U40" s="53">
        <v>-6194.228839743103</v>
      </c>
      <c r="V40" s="14">
        <v>0.36047527381157379</v>
      </c>
      <c r="W40" s="14">
        <v>0.23399583315805386</v>
      </c>
      <c r="X40" s="14">
        <v>0.30504130816220171</v>
      </c>
      <c r="Y40" s="14">
        <v>0.24905765454578085</v>
      </c>
      <c r="Z40" s="14">
        <v>0.35566824463385249</v>
      </c>
      <c r="AA40" s="14">
        <v>0.34366082527367964</v>
      </c>
      <c r="AB40" s="14">
        <v>0.57250806989411918</v>
      </c>
      <c r="AC40" s="14">
        <v>0.74395596319788448</v>
      </c>
      <c r="AD40" s="14">
        <v>0.25086576101316815</v>
      </c>
      <c r="AE40" s="14">
        <v>0.42910872350083651</v>
      </c>
      <c r="AF40" s="14">
        <v>0.55613168789201173</v>
      </c>
      <c r="AG40" s="14">
        <v>0.39713575054652889</v>
      </c>
      <c r="AH40" s="14">
        <v>0.3701816227570594</v>
      </c>
      <c r="AI40" s="14">
        <v>0.75404719148352961</v>
      </c>
      <c r="AJ40" s="14">
        <v>0.3280763724453164</v>
      </c>
      <c r="AK40" s="14">
        <v>0.46413285312538366</v>
      </c>
      <c r="AL40" s="14">
        <v>0.3431950540702417</v>
      </c>
      <c r="AM40" s="14">
        <v>0.59536143764388749</v>
      </c>
      <c r="AN40" s="14">
        <v>0.39777554534042125</v>
      </c>
      <c r="AO40" s="14">
        <v>0.32017356890349069</v>
      </c>
      <c r="AP40" s="52">
        <v>2.3493272354011979E-2</v>
      </c>
    </row>
    <row r="41" spans="1:42" x14ac:dyDescent="0.25">
      <c r="A41" s="11">
        <f t="shared" si="17"/>
        <v>11</v>
      </c>
      <c r="B41" s="12" t="s">
        <v>17</v>
      </c>
      <c r="C41" s="17">
        <v>13316.540199999999</v>
      </c>
      <c r="D41" s="13">
        <f ca="1">OFFSET($U$3,(ROWS($U$4:U14)-1),-(ROWS($U$4:U14)-1),1,1)</f>
        <v>6825.708533</v>
      </c>
      <c r="E41" s="14">
        <f ca="1">OFFSET($U$28,0,-(ROWS($I$30:I40)-1),1,1)</f>
        <v>0.8949071699447283</v>
      </c>
      <c r="F41" s="17">
        <f t="shared" ca="1" si="10"/>
        <v>801.57255518434522</v>
      </c>
      <c r="G41" s="17">
        <f t="shared" ca="1" si="11"/>
        <v>7627.2810881843452</v>
      </c>
      <c r="H41" s="14">
        <f t="shared" ca="1" si="12"/>
        <v>0.57276747365538272</v>
      </c>
      <c r="I41" s="14">
        <f t="array" aca="1" ref="I41" ca="1">SUM($D$31:$D$50*$P$31^ABS(A41-$A$31:$A$50)*$M$31:$M$50)/SUM($C$31:$C$50*$E$31:$E$50*$P$31^ABS(A41-$A$31:$A$50)*$M$31:$M$50)</f>
        <v>0.47801979957084323</v>
      </c>
      <c r="J41" s="19">
        <f t="shared" ca="1" si="13"/>
        <v>668.97575332856616</v>
      </c>
      <c r="K41" s="13">
        <f t="shared" ca="1" si="14"/>
        <v>7494.6842863285665</v>
      </c>
      <c r="L41" s="14">
        <f t="shared" ca="1" si="15"/>
        <v>0.56281017244468401</v>
      </c>
      <c r="M41" s="13">
        <f t="shared" ca="1" si="16"/>
        <v>1</v>
      </c>
      <c r="S41" s="49">
        <f>S40+5%</f>
        <v>0.1</v>
      </c>
      <c r="T41" s="53">
        <v>4965.1972309942366</v>
      </c>
      <c r="U41" s="53">
        <v>-6026.1555979583018</v>
      </c>
      <c r="V41" s="14">
        <v>0.35385146865373718</v>
      </c>
      <c r="W41" s="14">
        <v>0.24273534680768818</v>
      </c>
      <c r="X41" s="14">
        <v>0.29974114771169214</v>
      </c>
      <c r="Y41" s="14">
        <v>0.25674473292819311</v>
      </c>
      <c r="Z41" s="14">
        <v>0.35060432055913199</v>
      </c>
      <c r="AA41" s="14">
        <v>0.35214876857983002</v>
      </c>
      <c r="AB41" s="14">
        <v>0.56126033391943819</v>
      </c>
      <c r="AC41" s="14">
        <v>0.70797777872520873</v>
      </c>
      <c r="AD41" s="14">
        <v>0.28455318366433408</v>
      </c>
      <c r="AE41" s="14">
        <v>0.42838765337438806</v>
      </c>
      <c r="AF41" s="14">
        <v>0.5413730927192606</v>
      </c>
      <c r="AG41" s="14">
        <v>0.40442973377130309</v>
      </c>
      <c r="AH41" s="14">
        <v>0.38894111489090338</v>
      </c>
      <c r="AI41" s="14">
        <v>0.71041224212492171</v>
      </c>
      <c r="AJ41" s="14">
        <v>0.35061443567138378</v>
      </c>
      <c r="AK41" s="14">
        <v>0.45388799923301815</v>
      </c>
      <c r="AL41" s="14">
        <v>0.3605243341545859</v>
      </c>
      <c r="AM41" s="14">
        <v>0.57380676270585595</v>
      </c>
      <c r="AN41" s="14">
        <v>0.40381381231479035</v>
      </c>
      <c r="AO41" s="14">
        <v>0.32609880073293873</v>
      </c>
      <c r="AP41" s="52">
        <v>2.0115953965932156E-2</v>
      </c>
    </row>
    <row r="42" spans="1:42" x14ac:dyDescent="0.25">
      <c r="A42" s="11">
        <f t="shared" si="17"/>
        <v>12</v>
      </c>
      <c r="B42" s="12" t="s">
        <v>18</v>
      </c>
      <c r="C42" s="17">
        <v>14269.7402</v>
      </c>
      <c r="D42" s="13">
        <f ca="1">OFFSET($U$3,(ROWS($U$4:U15)-1),-(ROWS($U$4:U15)-1),1,1)</f>
        <v>5107.3856580000001</v>
      </c>
      <c r="E42" s="14">
        <f ca="1">OFFSET($U$28,0,-(ROWS($I$30:I41)-1),1,1)</f>
        <v>0.90142158816824269</v>
      </c>
      <c r="F42" s="17">
        <f t="shared" ca="1" si="10"/>
        <v>558.53772905643473</v>
      </c>
      <c r="G42" s="17">
        <f t="shared" ca="1" si="11"/>
        <v>5665.9233870564349</v>
      </c>
      <c r="H42" s="14">
        <f t="shared" ca="1" si="12"/>
        <v>0.39705862248679447</v>
      </c>
      <c r="I42" s="14">
        <f t="array" aca="1" ref="I42" ca="1">SUM($D$31:$D$50*$P$31^ABS(A42-$A$31:$A$50)*$M$31:$M$50)/SUM($C$31:$C$50*$E$31:$E$50*$P$31^ABS(A42-$A$31:$A$50)*$M$31:$M$50)</f>
        <v>0.47957311962478055</v>
      </c>
      <c r="J42" s="19">
        <f t="shared" ca="1" si="13"/>
        <v>674.6099089200444</v>
      </c>
      <c r="K42" s="13">
        <f t="shared" ca="1" si="14"/>
        <v>5781.9955669200444</v>
      </c>
      <c r="L42" s="14">
        <f t="shared" ca="1" si="15"/>
        <v>0.40519277056775316</v>
      </c>
      <c r="M42" s="13">
        <f t="shared" ca="1" si="16"/>
        <v>1</v>
      </c>
      <c r="S42" s="49">
        <f t="shared" ref="S42:S57" si="18">S41+5%</f>
        <v>0.15000000000000002</v>
      </c>
      <c r="T42" s="53">
        <v>4870.3466378937683</v>
      </c>
      <c r="U42" s="53">
        <v>-5867.8041873242337</v>
      </c>
      <c r="V42" s="14">
        <v>0.34761722212797558</v>
      </c>
      <c r="W42" s="14">
        <v>0.25017403808873001</v>
      </c>
      <c r="X42" s="14">
        <v>0.29596091056112511</v>
      </c>
      <c r="Y42" s="14">
        <v>0.26356465843055737</v>
      </c>
      <c r="Z42" s="14">
        <v>0.3468724170266273</v>
      </c>
      <c r="AA42" s="14">
        <v>0.35944464241197882</v>
      </c>
      <c r="AB42" s="14">
        <v>0.54931731153836449</v>
      </c>
      <c r="AC42" s="14">
        <v>0.67487610262725439</v>
      </c>
      <c r="AD42" s="14">
        <v>0.31478989880273073</v>
      </c>
      <c r="AE42" s="14">
        <v>0.42918096208032308</v>
      </c>
      <c r="AF42" s="14">
        <v>0.52780047304218891</v>
      </c>
      <c r="AG42" s="14">
        <v>0.41175992797829725</v>
      </c>
      <c r="AH42" s="14">
        <v>0.4047087418404593</v>
      </c>
      <c r="AI42" s="14">
        <v>0.67262125786040772</v>
      </c>
      <c r="AJ42" s="14">
        <v>0.36966359533642201</v>
      </c>
      <c r="AK42" s="14">
        <v>0.44708078079911634</v>
      </c>
      <c r="AL42" s="14">
        <v>0.3749401717236393</v>
      </c>
      <c r="AM42" s="14">
        <v>0.55460675276271709</v>
      </c>
      <c r="AN42" s="14">
        <v>0.40863445946292165</v>
      </c>
      <c r="AO42" s="14">
        <v>0.33279469178615534</v>
      </c>
      <c r="AP42" s="52">
        <v>1.7291771650614136E-2</v>
      </c>
    </row>
    <row r="43" spans="1:42" x14ac:dyDescent="0.25">
      <c r="A43" s="11">
        <f t="shared" si="17"/>
        <v>13</v>
      </c>
      <c r="B43" s="12" t="s">
        <v>19</v>
      </c>
      <c r="C43" s="17">
        <v>15193.120199999999</v>
      </c>
      <c r="D43" s="13">
        <f ca="1">OFFSET($U$3,(ROWS($U$4:U16)-1),-(ROWS($U$4:U16)-1),1,1)</f>
        <v>4847.1499620000004</v>
      </c>
      <c r="E43" s="14">
        <f ca="1">OFFSET($U$28,0,-(ROWS($I$30:I42)-1),1,1)</f>
        <v>0.87490784428546942</v>
      </c>
      <c r="F43" s="17">
        <f t="shared" ca="1" si="10"/>
        <v>693.03349121687097</v>
      </c>
      <c r="G43" s="17">
        <f t="shared" ca="1" si="11"/>
        <v>5540.1834532168714</v>
      </c>
      <c r="H43" s="14">
        <f t="shared" ca="1" si="12"/>
        <v>0.36465080117097154</v>
      </c>
      <c r="I43" s="14">
        <f t="array" aca="1" ref="I43" ca="1">SUM($D$31:$D$50*$P$31^ABS(A43-$A$31:$A$50)*$M$31:$M$50)/SUM($C$31:$C$50*$E$31:$E$50*$P$31^ABS(A43-$A$31:$A$50)*$M$31:$M$50)</f>
        <v>0.48693375218782137</v>
      </c>
      <c r="J43" s="19">
        <f t="shared" ca="1" si="13"/>
        <v>925.43715024455116</v>
      </c>
      <c r="K43" s="13">
        <f t="shared" ca="1" si="14"/>
        <v>5772.5871122445515</v>
      </c>
      <c r="L43" s="14">
        <f t="shared" ca="1" si="15"/>
        <v>0.37994743912080364</v>
      </c>
      <c r="M43" s="13">
        <f t="shared" ca="1" si="16"/>
        <v>1</v>
      </c>
      <c r="S43" s="49">
        <f t="shared" si="18"/>
        <v>0.2</v>
      </c>
      <c r="T43" s="53">
        <v>4779.3566432508087</v>
      </c>
      <c r="U43" s="53">
        <v>-5721.0541877766482</v>
      </c>
      <c r="V43" s="14">
        <v>0.34176249287454813</v>
      </c>
      <c r="W43" s="14">
        <v>0.25660543882866044</v>
      </c>
      <c r="X43" s="14">
        <v>0.29347376379870366</v>
      </c>
      <c r="Y43" s="14">
        <v>0.26978042921037465</v>
      </c>
      <c r="Z43" s="14">
        <v>0.3442683209887909</v>
      </c>
      <c r="AA43" s="14">
        <v>0.36555882972776277</v>
      </c>
      <c r="AB43" s="14">
        <v>0.53683887069527414</v>
      </c>
      <c r="AC43" s="14">
        <v>0.64434925389450115</v>
      </c>
      <c r="AD43" s="14">
        <v>0.34152287408479826</v>
      </c>
      <c r="AE43" s="14">
        <v>0.43111223373245905</v>
      </c>
      <c r="AF43" s="14">
        <v>0.51569019428441754</v>
      </c>
      <c r="AG43" s="14">
        <v>0.4188585176035447</v>
      </c>
      <c r="AH43" s="14">
        <v>0.41781733911965335</v>
      </c>
      <c r="AI43" s="14">
        <v>0.63977646310888225</v>
      </c>
      <c r="AJ43" s="14">
        <v>0.38573193557608015</v>
      </c>
      <c r="AK43" s="14">
        <v>0.44287661288917685</v>
      </c>
      <c r="AL43" s="14">
        <v>0.38696423450385037</v>
      </c>
      <c r="AM43" s="14">
        <v>0.53751421389593046</v>
      </c>
      <c r="AN43" s="14">
        <v>0.41248038912888335</v>
      </c>
      <c r="AO43" s="14">
        <v>0.34004116463228207</v>
      </c>
      <c r="AP43" s="52">
        <v>1.4933318368433014E-2</v>
      </c>
    </row>
    <row r="44" spans="1:42" x14ac:dyDescent="0.25">
      <c r="A44" s="11">
        <f t="shared" si="17"/>
        <v>14</v>
      </c>
      <c r="B44" s="12" t="s">
        <v>20</v>
      </c>
      <c r="C44" s="17">
        <v>15076.780199999999</v>
      </c>
      <c r="D44" s="13">
        <f ca="1">OFFSET($U$3,(ROWS($U$4:U17)-1),-(ROWS($U$4:U17)-1),1,1)</f>
        <v>10125.441360000001</v>
      </c>
      <c r="E44" s="14">
        <f ca="1">OFFSET($U$28,0,-(ROWS($I$30:I43)-1),1,1)</f>
        <v>0.86127739440042028</v>
      </c>
      <c r="F44" s="17">
        <f t="shared" ca="1" si="10"/>
        <v>1630.86552304416</v>
      </c>
      <c r="G44" s="17">
        <f t="shared" ca="1" si="11"/>
        <v>11756.306883044161</v>
      </c>
      <c r="H44" s="14">
        <f t="shared" ca="1" si="12"/>
        <v>0.77976243780778609</v>
      </c>
      <c r="I44" s="14">
        <f t="array" aca="1" ref="I44" ca="1">SUM($D$31:$D$50*$P$31^ABS(A44-$A$31:$A$50)*$M$31:$M$50)/SUM($C$31:$C$50*$E$31:$E$50*$P$31^ABS(A44-$A$31:$A$50)*$M$31:$M$50)</f>
        <v>0.50434346165519472</v>
      </c>
      <c r="J44" s="19">
        <f t="shared" ca="1" si="13"/>
        <v>1054.8294243290468</v>
      </c>
      <c r="K44" s="13">
        <f t="shared" ca="1" si="14"/>
        <v>11180.270784329048</v>
      </c>
      <c r="L44" s="14">
        <f t="shared" ca="1" si="15"/>
        <v>0.74155559980433017</v>
      </c>
      <c r="M44" s="13">
        <f t="shared" ca="1" si="16"/>
        <v>1</v>
      </c>
      <c r="S44" s="49">
        <f t="shared" si="18"/>
        <v>0.25</v>
      </c>
      <c r="T44" s="53">
        <v>4693.0527077297884</v>
      </c>
      <c r="U44" s="53">
        <v>-5586.7377734342272</v>
      </c>
      <c r="V44" s="14">
        <v>0.3362985560494281</v>
      </c>
      <c r="W44" s="14">
        <v>0.26227223042843018</v>
      </c>
      <c r="X44" s="14">
        <v>0.2921075843629321</v>
      </c>
      <c r="Y44" s="14">
        <v>0.27559962759101403</v>
      </c>
      <c r="Z44" s="14">
        <v>0.34261643427095267</v>
      </c>
      <c r="AA44" s="14">
        <v>0.37051915537893743</v>
      </c>
      <c r="AB44" s="14">
        <v>0.52397133562446785</v>
      </c>
      <c r="AC44" s="14">
        <v>0.61611645186710307</v>
      </c>
      <c r="AD44" s="14">
        <v>0.3647198025137684</v>
      </c>
      <c r="AE44" s="14">
        <v>0.43383249588484474</v>
      </c>
      <c r="AF44" s="14">
        <v>0.50516417884333797</v>
      </c>
      <c r="AG44" s="14">
        <v>0.42555025946601993</v>
      </c>
      <c r="AH44" s="14">
        <v>0.42856963193284897</v>
      </c>
      <c r="AI44" s="14">
        <v>0.61116562146596309</v>
      </c>
      <c r="AJ44" s="14">
        <v>0.39924294820390915</v>
      </c>
      <c r="AK44" s="14">
        <v>0.44060258158767257</v>
      </c>
      <c r="AL44" s="14">
        <v>0.39701690457199712</v>
      </c>
      <c r="AM44" s="14">
        <v>0.52232836392936299</v>
      </c>
      <c r="AN44" s="14">
        <v>0.41554980301749145</v>
      </c>
      <c r="AO44" s="14">
        <v>0.34764612459689503</v>
      </c>
      <c r="AP44" s="52">
        <v>1.295966071182543E-2</v>
      </c>
    </row>
    <row r="45" spans="1:42" x14ac:dyDescent="0.25">
      <c r="A45" s="11">
        <f t="shared" si="17"/>
        <v>15</v>
      </c>
      <c r="B45" s="12" t="s">
        <v>21</v>
      </c>
      <c r="C45" s="17">
        <v>18804.480200000002</v>
      </c>
      <c r="D45" s="13">
        <f ca="1">OFFSET($U$3,(ROWS($U$4:U18)-1),-(ROWS($U$4:U18)-1),1,1)</f>
        <v>4755.1345259999998</v>
      </c>
      <c r="E45" s="14">
        <f ca="1">OFFSET($U$28,0,-(ROWS($I$30:I44)-1),1,1)</f>
        <v>0.85683424339644976</v>
      </c>
      <c r="F45" s="17">
        <f t="shared" ca="1" si="10"/>
        <v>794.52057082581723</v>
      </c>
      <c r="G45" s="17">
        <f t="shared" ca="1" si="11"/>
        <v>5549.6550968258171</v>
      </c>
      <c r="H45" s="14">
        <f t="shared" ca="1" si="12"/>
        <v>0.29512408946171331</v>
      </c>
      <c r="I45" s="14">
        <f t="array" aca="1" ref="I45" ca="1">SUM($D$31:$D$50*$P$31^ABS(A45-$A$31:$A$50)*$M$31:$M$50)/SUM($C$31:$C$50*$E$31:$E$50*$P$31^ABS(A45-$A$31:$A$50)*$M$31:$M$50)</f>
        <v>0.50217621496216092</v>
      </c>
      <c r="J45" s="19">
        <f t="shared" ca="1" si="13"/>
        <v>1351.9375314113267</v>
      </c>
      <c r="K45" s="13">
        <f t="shared" ca="1" si="14"/>
        <v>6107.0720574113266</v>
      </c>
      <c r="L45" s="14">
        <f t="shared" ca="1" si="15"/>
        <v>0.32476686366535812</v>
      </c>
      <c r="M45" s="13">
        <f t="shared" ca="1" si="16"/>
        <v>0</v>
      </c>
      <c r="S45" s="49">
        <f t="shared" si="18"/>
        <v>0.3</v>
      </c>
      <c r="T45" s="53">
        <v>4611.8411679711016</v>
      </c>
      <c r="U45" s="53">
        <v>-5464.7504162424075</v>
      </c>
      <c r="V45" s="14">
        <v>0.33126095821608598</v>
      </c>
      <c r="W45" s="14">
        <v>0.26738517417391749</v>
      </c>
      <c r="X45" s="14">
        <v>0.2917358438665395</v>
      </c>
      <c r="Y45" s="14">
        <v>0.2811849151756145</v>
      </c>
      <c r="Z45" s="14">
        <v>0.34176728121849359</v>
      </c>
      <c r="AA45" s="14">
        <v>0.37437486728447045</v>
      </c>
      <c r="AB45" s="14">
        <v>0.51085492200183191</v>
      </c>
      <c r="AC45" s="14">
        <v>0.58992648872326803</v>
      </c>
      <c r="AD45" s="14">
        <v>0.38437349132925253</v>
      </c>
      <c r="AE45" s="14">
        <v>0.43699679947630171</v>
      </c>
      <c r="AF45" s="14">
        <v>0.49621165742334755</v>
      </c>
      <c r="AG45" s="14">
        <v>0.43171841128503408</v>
      </c>
      <c r="AH45" s="14">
        <v>0.43724499960670737</v>
      </c>
      <c r="AI45" s="14">
        <v>0.58621364030816581</v>
      </c>
      <c r="AJ45" s="14">
        <v>0.41054832200702651</v>
      </c>
      <c r="AK45" s="14">
        <v>0.43971672804118794</v>
      </c>
      <c r="AL45" s="14">
        <v>0.40543876158578385</v>
      </c>
      <c r="AM45" s="14">
        <v>0.50888340107208896</v>
      </c>
      <c r="AN45" s="14">
        <v>0.41801219403718076</v>
      </c>
      <c r="AO45" s="14">
        <v>0.35544687028797117</v>
      </c>
      <c r="AP45" s="52">
        <v>1.1299159043977151E-2</v>
      </c>
    </row>
    <row r="46" spans="1:42" x14ac:dyDescent="0.25">
      <c r="A46" s="11">
        <f t="shared" si="17"/>
        <v>16</v>
      </c>
      <c r="B46" s="12" t="s">
        <v>22</v>
      </c>
      <c r="C46" s="17">
        <v>17929.950199999999</v>
      </c>
      <c r="D46" s="13">
        <f ca="1">OFFSET($U$3,(ROWS($U$4:U19)-1),-(ROWS($U$4:U19)-1),1,1)</f>
        <v>7419.1993769999999</v>
      </c>
      <c r="E46" s="14">
        <f ca="1">OFFSET($U$28,0,-(ROWS($I$30:I45)-1),1,1)</f>
        <v>0.83576461545163616</v>
      </c>
      <c r="F46" s="17">
        <f t="shared" ca="1" si="10"/>
        <v>1457.9404777314221</v>
      </c>
      <c r="G46" s="17">
        <f t="shared" ca="1" si="11"/>
        <v>8877.139854731422</v>
      </c>
      <c r="H46" s="14">
        <f t="shared" ca="1" si="12"/>
        <v>0.49510119970837524</v>
      </c>
      <c r="I46" s="14">
        <f t="array" aca="1" ref="I46" ca="1">SUM($D$31:$D$50*$P$31^ABS(A46-$A$31:$A$50)*$M$31:$M$50)/SUM($C$31:$C$50*$E$31:$E$50*$P$31^ABS(A46-$A$31:$A$50)*$M$31:$M$50)</f>
        <v>0.49969315213820648</v>
      </c>
      <c r="J46" s="19">
        <f t="shared" ca="1" si="13"/>
        <v>1471.4625482156207</v>
      </c>
      <c r="K46" s="13">
        <f t="shared" ca="1" si="14"/>
        <v>8890.6619252156197</v>
      </c>
      <c r="L46" s="14">
        <f t="shared" ca="1" si="15"/>
        <v>0.49585536078151626</v>
      </c>
      <c r="M46" s="13">
        <f t="shared" ca="1" si="16"/>
        <v>1</v>
      </c>
      <c r="S46" s="49">
        <f t="shared" si="18"/>
        <v>0.35</v>
      </c>
      <c r="T46" s="53">
        <v>4535.736991880869</v>
      </c>
      <c r="U46" s="53">
        <v>-5354.1809922309585</v>
      </c>
      <c r="V46" s="14">
        <v>0.32671253611081652</v>
      </c>
      <c r="W46" s="14">
        <v>0.27213628598682976</v>
      </c>
      <c r="X46" s="14">
        <v>0.2922698716851434</v>
      </c>
      <c r="Y46" s="14">
        <v>0.28666399119334007</v>
      </c>
      <c r="Z46" s="14">
        <v>0.34159658326705195</v>
      </c>
      <c r="AA46" s="14">
        <v>0.37719997608790207</v>
      </c>
      <c r="AB46" s="14">
        <v>0.49763224311971183</v>
      </c>
      <c r="AC46" s="14">
        <v>0.56556651771647137</v>
      </c>
      <c r="AD46" s="14">
        <v>0.40050618691320816</v>
      </c>
      <c r="AE46" s="14">
        <v>0.44025078309431281</v>
      </c>
      <c r="AF46" s="14">
        <v>0.48870528976920341</v>
      </c>
      <c r="AG46" s="14">
        <v>0.43727423268862281</v>
      </c>
      <c r="AH46" s="14">
        <v>0.44409809279977319</v>
      </c>
      <c r="AI46" s="14">
        <v>0.56444696059513988</v>
      </c>
      <c r="AJ46" s="14">
        <v>0.41994036593800138</v>
      </c>
      <c r="AK46" s="14">
        <v>0.43978534780365369</v>
      </c>
      <c r="AL46" s="14">
        <v>0.41250737148850958</v>
      </c>
      <c r="AM46" s="14">
        <v>0.49704001901281941</v>
      </c>
      <c r="AN46" s="14">
        <v>0.42001832353040353</v>
      </c>
      <c r="AO46" s="14">
        <v>0.3633115506483009</v>
      </c>
      <c r="AP46" s="52">
        <v>9.8911087889577195E-3</v>
      </c>
    </row>
    <row r="47" spans="1:42" x14ac:dyDescent="0.25">
      <c r="A47" s="11">
        <f t="shared" si="17"/>
        <v>17</v>
      </c>
      <c r="B47" s="12" t="s">
        <v>23</v>
      </c>
      <c r="C47" s="17">
        <v>18824.710200000001</v>
      </c>
      <c r="D47" s="13">
        <f ca="1">OFFSET($U$3,(ROWS($U$4:U20)-1),-(ROWS($U$4:U20)-1),1,1)</f>
        <v>4024.5331259999998</v>
      </c>
      <c r="E47" s="14">
        <f ca="1">OFFSET($U$28,0,-(ROWS($I$30:I46)-1),1,1)</f>
        <v>0.80185455674006056</v>
      </c>
      <c r="F47" s="17">
        <f t="shared" ca="1" si="10"/>
        <v>994.498183570327</v>
      </c>
      <c r="G47" s="17">
        <f t="shared" ca="1" si="11"/>
        <v>5019.0313095703268</v>
      </c>
      <c r="H47" s="14">
        <f t="shared" ca="1" si="12"/>
        <v>0.26661931345802742</v>
      </c>
      <c r="I47" s="14">
        <f t="array" aca="1" ref="I47" ca="1">SUM($D$31:$D$50*$P$31^ABS(A47-$A$31:$A$50)*$M$31:$M$50)/SUM($C$31:$C$50*$E$31:$E$50*$P$31^ABS(A47-$A$31:$A$50)*$M$31:$M$50)</f>
        <v>0.49732004392165829</v>
      </c>
      <c r="J47" s="19">
        <f t="shared" ca="1" si="13"/>
        <v>1855.0189553731041</v>
      </c>
      <c r="K47" s="13">
        <f t="shared" ca="1" si="14"/>
        <v>5879.5520813731036</v>
      </c>
      <c r="L47" s="14">
        <f t="shared" ca="1" si="15"/>
        <v>0.31233161195613535</v>
      </c>
      <c r="M47" s="13">
        <f t="shared" ca="1" si="16"/>
        <v>0</v>
      </c>
      <c r="S47" s="49">
        <f t="shared" si="18"/>
        <v>0.39999999999999997</v>
      </c>
      <c r="T47" s="53">
        <v>4464.4082445509484</v>
      </c>
      <c r="U47" s="53">
        <v>-5253.4601632062549</v>
      </c>
      <c r="V47" s="14">
        <v>0.32274605041187576</v>
      </c>
      <c r="W47" s="14">
        <v>0.27670838791382718</v>
      </c>
      <c r="X47" s="14">
        <v>0.29365316971637428</v>
      </c>
      <c r="Y47" s="14">
        <v>0.2921394115412882</v>
      </c>
      <c r="Z47" s="14">
        <v>0.34200575031003078</v>
      </c>
      <c r="AA47" s="14">
        <v>0.37909584645370759</v>
      </c>
      <c r="AB47" s="14">
        <v>0.4844560241548253</v>
      </c>
      <c r="AC47" s="14">
        <v>0.54287003607493745</v>
      </c>
      <c r="AD47" s="14">
        <v>0.41317597764912134</v>
      </c>
      <c r="AE47" s="14">
        <v>0.44322769524964073</v>
      </c>
      <c r="AF47" s="14">
        <v>0.48241446130169141</v>
      </c>
      <c r="AG47" s="14">
        <v>0.44212891094354045</v>
      </c>
      <c r="AH47" s="14">
        <v>0.44935050335551791</v>
      </c>
      <c r="AI47" s="14">
        <v>0.54546458514995844</v>
      </c>
      <c r="AJ47" s="14">
        <v>0.42766248669293222</v>
      </c>
      <c r="AK47" s="14">
        <v>0.44046526472433734</v>
      </c>
      <c r="AL47" s="14">
        <v>0.41845042874124827</v>
      </c>
      <c r="AM47" s="14">
        <v>0.48667911564936689</v>
      </c>
      <c r="AN47" s="14">
        <v>0.42170615709079934</v>
      </c>
      <c r="AO47" s="14">
        <v>0.37113993349383639</v>
      </c>
      <c r="AP47" s="52">
        <v>8.6863333670290071E-3</v>
      </c>
    </row>
    <row r="48" spans="1:42" x14ac:dyDescent="0.25">
      <c r="A48" s="11">
        <f t="shared" si="17"/>
        <v>18</v>
      </c>
      <c r="B48" s="12" t="s">
        <v>24</v>
      </c>
      <c r="C48" s="17">
        <v>20181.340199999999</v>
      </c>
      <c r="D48" s="13">
        <f ca="1">OFFSET($U$3,(ROWS($U$4:U21)-1),-(ROWS($U$4:U21)-1),1,1)</f>
        <v>8147.7663220000004</v>
      </c>
      <c r="E48" s="14">
        <f ca="1">OFFSET($U$28,0,-(ROWS($I$30:I47)-1),1,1)</f>
        <v>0.75787044895061118</v>
      </c>
      <c r="F48" s="17">
        <f t="shared" ca="1" si="10"/>
        <v>2603.1032141876722</v>
      </c>
      <c r="G48" s="17">
        <f t="shared" ca="1" si="11"/>
        <v>10750.869536187673</v>
      </c>
      <c r="H48" s="14">
        <f t="shared" ca="1" si="12"/>
        <v>0.53271335945209786</v>
      </c>
      <c r="I48" s="14">
        <f t="array" aca="1" ref="I48" ca="1">SUM($D$31:$D$50*$P$31^ABS(A48-$A$31:$A$50)*$M$31:$M$50)/SUM($C$31:$C$50*$E$31:$E$50*$P$31^ABS(A48-$A$31:$A$50)*$M$31:$M$50)</f>
        <v>0.49454551158250543</v>
      </c>
      <c r="J48" s="19">
        <f t="shared" ca="1" si="13"/>
        <v>2416.5960697636051</v>
      </c>
      <c r="K48" s="13">
        <f t="shared" ca="1" si="14"/>
        <v>10564.362391763605</v>
      </c>
      <c r="L48" s="14">
        <f t="shared" ca="1" si="15"/>
        <v>0.52347179558291201</v>
      </c>
      <c r="M48" s="13">
        <f t="shared" ca="1" si="16"/>
        <v>1</v>
      </c>
      <c r="S48" s="49">
        <f t="shared" si="18"/>
        <v>0.44999999999999996</v>
      </c>
      <c r="T48" s="53">
        <v>4397.2378203762064</v>
      </c>
      <c r="U48" s="53">
        <v>-5160.5286872261768</v>
      </c>
      <c r="V48" s="14">
        <v>0.31948632437219038</v>
      </c>
      <c r="W48" s="14">
        <v>0.28128277082700542</v>
      </c>
      <c r="X48" s="14">
        <v>0.29585832968737763</v>
      </c>
      <c r="Y48" s="14">
        <v>0.29769865526506534</v>
      </c>
      <c r="Z48" s="14">
        <v>0.34292371972761881</v>
      </c>
      <c r="AA48" s="14">
        <v>0.38019285152480242</v>
      </c>
      <c r="AB48" s="14">
        <v>0.47149454584311146</v>
      </c>
      <c r="AC48" s="14">
        <v>0.52172293597702335</v>
      </c>
      <c r="AD48" s="14">
        <v>0.42248671350152017</v>
      </c>
      <c r="AE48" s="14">
        <v>0.44555714480057462</v>
      </c>
      <c r="AF48" s="14">
        <v>0.47701965709806515</v>
      </c>
      <c r="AG48" s="14">
        <v>0.44616876065353511</v>
      </c>
      <c r="AH48" s="14">
        <v>0.45317691057671083</v>
      </c>
      <c r="AI48" s="14">
        <v>0.5289114383787431</v>
      </c>
      <c r="AJ48" s="14">
        <v>0.43391540448207472</v>
      </c>
      <c r="AK48" s="14">
        <v>0.44148802446373447</v>
      </c>
      <c r="AL48" s="14">
        <v>0.4234554150263935</v>
      </c>
      <c r="AM48" s="14">
        <v>0.4776967759143706</v>
      </c>
      <c r="AN48" s="14">
        <v>0.42320387579938662</v>
      </c>
      <c r="AO48" s="14">
        <v>0.37886290527889077</v>
      </c>
      <c r="AP48" s="52">
        <v>7.6469083916339865E-3</v>
      </c>
    </row>
    <row r="49" spans="1:42" x14ac:dyDescent="0.25">
      <c r="A49" s="11">
        <f t="shared" si="17"/>
        <v>19</v>
      </c>
      <c r="B49" s="12" t="s">
        <v>25</v>
      </c>
      <c r="C49" s="17">
        <v>20891.360199999999</v>
      </c>
      <c r="D49" s="13">
        <f ca="1">OFFSET($U$3,(ROWS($U$4:U22)-1),-(ROWS($U$4:U22)-1),1,1)</f>
        <v>4806.7515240000002</v>
      </c>
      <c r="E49" s="14">
        <f ca="1">OFFSET($U$28,0,-(ROWS($I$30:I48)-1),1,1)</f>
        <v>0.5821957719860108</v>
      </c>
      <c r="F49" s="17">
        <f t="shared" ca="1" si="10"/>
        <v>3449.494493732157</v>
      </c>
      <c r="G49" s="17">
        <f t="shared" ca="1" si="11"/>
        <v>8256.2460177321573</v>
      </c>
      <c r="H49" s="14">
        <f t="shared" ca="1" si="12"/>
        <v>0.39519906500545415</v>
      </c>
      <c r="I49" s="14">
        <f t="array" aca="1" ref="I49" ca="1">SUM($D$31:$D$50*$P$31^ABS(A49-$A$31:$A$50)*$M$31:$M$50)/SUM($C$31:$C$50*$E$31:$E$50*$P$31^ABS(A49-$A$31:$A$50)*$M$31:$M$50)</f>
        <v>0.48607111037309431</v>
      </c>
      <c r="J49" s="19">
        <f t="shared" ca="1" si="13"/>
        <v>4242.6710163677235</v>
      </c>
      <c r="K49" s="13">
        <f t="shared" ca="1" si="14"/>
        <v>9049.4225403677228</v>
      </c>
      <c r="L49" s="14">
        <f t="shared" ca="1" si="15"/>
        <v>0.4331657897683332</v>
      </c>
      <c r="M49" s="13">
        <f t="shared" ca="1" si="16"/>
        <v>1</v>
      </c>
      <c r="S49" s="49">
        <f t="shared" si="18"/>
        <v>0.49999999999999994</v>
      </c>
      <c r="T49" s="53">
        <v>4333.4111531940234</v>
      </c>
      <c r="U49" s="53">
        <v>-5073.0386084238999</v>
      </c>
      <c r="V49" s="14">
        <v>0.31709237223943587</v>
      </c>
      <c r="W49" s="14">
        <v>0.28604664948470376</v>
      </c>
      <c r="X49" s="14">
        <v>0.29888715716080488</v>
      </c>
      <c r="Y49" s="14">
        <v>0.30342489344865514</v>
      </c>
      <c r="Z49" s="14">
        <v>0.34431012773430791</v>
      </c>
      <c r="AA49" s="14">
        <v>0.38065096663380599</v>
      </c>
      <c r="AB49" s="14">
        <v>0.45893391137568013</v>
      </c>
      <c r="AC49" s="14">
        <v>0.50206639032636946</v>
      </c>
      <c r="AD49" s="14">
        <v>0.42860132947707141</v>
      </c>
      <c r="AE49" s="14">
        <v>0.4468866487643513</v>
      </c>
      <c r="AF49" s="14">
        <v>0.47213289643900841</v>
      </c>
      <c r="AG49" s="14">
        <v>0.44923679713338921</v>
      </c>
      <c r="AH49" s="14">
        <v>0.45568794874570834</v>
      </c>
      <c r="AI49" s="14">
        <v>0.51445126543848352</v>
      </c>
      <c r="AJ49" s="14">
        <v>0.43885626110632886</v>
      </c>
      <c r="AK49" s="14">
        <v>0.44264242290822831</v>
      </c>
      <c r="AL49" s="14">
        <v>0.42767459771170152</v>
      </c>
      <c r="AM49" s="14">
        <v>0.4699989082356163</v>
      </c>
      <c r="AN49" s="14">
        <v>0.42463001806323109</v>
      </c>
      <c r="AO49" s="14">
        <v>0.38643987026505988</v>
      </c>
      <c r="AP49" s="52">
        <v>6.7451933394966444E-3</v>
      </c>
    </row>
    <row r="50" spans="1:42" ht="15.75" thickBot="1" x14ac:dyDescent="0.3">
      <c r="A50" s="11">
        <f t="shared" si="17"/>
        <v>20</v>
      </c>
      <c r="B50" s="12" t="s">
        <v>26</v>
      </c>
      <c r="C50" s="17">
        <v>23653.9902</v>
      </c>
      <c r="D50" s="21">
        <f ca="1">OFFSET($U$3,(ROWS($U$4:U23)-1),-(ROWS($U$4:U23)-1),1,1)</f>
        <v>1877.010266</v>
      </c>
      <c r="E50" s="22">
        <f ca="1">OFFSET($U$28,0,-(ROWS($I$30:I49)-1),1,1)</f>
        <v>0.32046203297110881</v>
      </c>
      <c r="F50" s="23">
        <f t="shared" ca="1" si="10"/>
        <v>3980.1898790456426</v>
      </c>
      <c r="G50" s="23">
        <f t="shared" ca="1" si="11"/>
        <v>5857.2001450456428</v>
      </c>
      <c r="H50" s="22">
        <f t="shared" ca="1" si="12"/>
        <v>0.24761996160147401</v>
      </c>
      <c r="I50" s="14">
        <f t="array" aca="1" ref="I50" ca="1">SUM($D$31:$D$50*$P$31^ABS(A50-$A$31:$A$50)*$M$31:$M$50)/SUM($C$31:$C$50*$E$31:$E$50*$P$31^ABS(A50-$A$31:$A$50)*$M$31:$M$50)</f>
        <v>0.48607111037309436</v>
      </c>
      <c r="J50" s="24">
        <f t="shared" ca="1" si="13"/>
        <v>7813.002237344469</v>
      </c>
      <c r="K50" s="21">
        <f t="shared" ca="1" si="14"/>
        <v>9690.0125033444692</v>
      </c>
      <c r="L50" s="22">
        <f t="shared" ca="1" si="15"/>
        <v>0.40965657047344467</v>
      </c>
      <c r="M50" s="13">
        <f t="shared" ca="1" si="16"/>
        <v>0</v>
      </c>
      <c r="S50" s="49">
        <f t="shared" si="18"/>
        <v>0.54999999999999993</v>
      </c>
      <c r="T50" s="53">
        <v>4272.0608864615788</v>
      </c>
      <c r="U50" s="53">
        <v>-4988.6282583551165</v>
      </c>
      <c r="V50" s="14">
        <v>0.31576082157118301</v>
      </c>
      <c r="W50" s="14">
        <v>0.29120222508839383</v>
      </c>
      <c r="X50" s="14">
        <v>0.30277470758172487</v>
      </c>
      <c r="Y50" s="14">
        <v>0.30940891872212123</v>
      </c>
      <c r="Z50" s="14">
        <v>0.3461597420391983</v>
      </c>
      <c r="AA50" s="14">
        <v>0.38065927493355761</v>
      </c>
      <c r="AB50" s="14">
        <v>0.44697685327349784</v>
      </c>
      <c r="AC50" s="14">
        <v>0.4838953965078665</v>
      </c>
      <c r="AD50" s="14">
        <v>0.43175622148827209</v>
      </c>
      <c r="AE50" s="14">
        <v>0.44691519738777613</v>
      </c>
      <c r="AF50" s="14">
        <v>0.46732934346723937</v>
      </c>
      <c r="AG50" s="14">
        <v>0.45112600044361334</v>
      </c>
      <c r="AH50" s="14">
        <v>0.45691370857847541</v>
      </c>
      <c r="AI50" s="14">
        <v>0.50173804090401652</v>
      </c>
      <c r="AJ50" s="14">
        <v>0.4425877570487643</v>
      </c>
      <c r="AK50" s="14">
        <v>0.44375092845010006</v>
      </c>
      <c r="AL50" s="14">
        <v>0.43122218348151226</v>
      </c>
      <c r="AM50" s="14">
        <v>0.46349225425670065</v>
      </c>
      <c r="AN50" s="14">
        <v>0.42608881830448936</v>
      </c>
      <c r="AO50" s="14">
        <v>0.39385181750879356</v>
      </c>
      <c r="AP50" s="52">
        <v>5.9623704889677802E-3</v>
      </c>
    </row>
    <row r="51" spans="1:42" ht="15.75" thickBot="1" x14ac:dyDescent="0.3">
      <c r="B51" s="27" t="s">
        <v>42</v>
      </c>
      <c r="C51" s="28">
        <f>SUM(C31:C50)</f>
        <v>375363.76399999997</v>
      </c>
      <c r="D51" s="28">
        <f ca="1">SUM(D31:D50)</f>
        <v>125244.49439599998</v>
      </c>
      <c r="E51" s="29"/>
      <c r="F51" s="28">
        <f ca="1">SUM(F31:F50)</f>
        <v>18013.362509435377</v>
      </c>
      <c r="G51" s="30">
        <f ca="1">SUM(G31:G50)</f>
        <v>143257.85690543539</v>
      </c>
      <c r="H51" s="31">
        <f ca="1">G51/C51</f>
        <v>0.3816507362853368</v>
      </c>
      <c r="I51" s="29"/>
      <c r="J51" s="30">
        <f ca="1">SUM(J31:J50)</f>
        <v>23741.011340030484</v>
      </c>
      <c r="K51" s="30">
        <f ca="1">SUM(K31:K50)</f>
        <v>148985.50573603049</v>
      </c>
      <c r="L51" s="32">
        <f ca="1">K51/C51</f>
        <v>0.39690966476996031</v>
      </c>
      <c r="M51" s="32"/>
      <c r="S51" s="49">
        <f t="shared" si="18"/>
        <v>0.6</v>
      </c>
      <c r="T51" s="53">
        <v>4212.5466015132115</v>
      </c>
      <c r="U51" s="53">
        <v>-4905.3653085302021</v>
      </c>
      <c r="V51" s="14">
        <v>0.31573271095169092</v>
      </c>
      <c r="W51" s="14">
        <v>0.29697917461086837</v>
      </c>
      <c r="X51" s="14">
        <v>0.30759779271479487</v>
      </c>
      <c r="Y51" s="14">
        <v>0.31576236400805641</v>
      </c>
      <c r="Z51" s="14">
        <v>0.34850773659047951</v>
      </c>
      <c r="AA51" s="14">
        <v>0.38043428399487406</v>
      </c>
      <c r="AB51" s="14">
        <v>0.43583824694546708</v>
      </c>
      <c r="AC51" s="14">
        <v>0.46725205906896827</v>
      </c>
      <c r="AD51" s="14">
        <v>0.43227201511645702</v>
      </c>
      <c r="AE51" s="14">
        <v>0.44543421116027732</v>
      </c>
      <c r="AF51" s="14">
        <v>0.46219298592847752</v>
      </c>
      <c r="AG51" s="14">
        <v>0.45159072899768998</v>
      </c>
      <c r="AH51" s="14">
        <v>0.45679425271122392</v>
      </c>
      <c r="AI51" s="14">
        <v>0.49038749253505171</v>
      </c>
      <c r="AJ51" s="14">
        <v>0.44513562149525604</v>
      </c>
      <c r="AK51" s="14">
        <v>0.44463492137981331</v>
      </c>
      <c r="AL51" s="14">
        <v>0.43415783133577501</v>
      </c>
      <c r="AM51" s="14">
        <v>0.45806548007650205</v>
      </c>
      <c r="AN51" s="14">
        <v>0.42765493979588493</v>
      </c>
      <c r="AO51" s="14">
        <v>0.40108398307317411</v>
      </c>
      <c r="AP51" s="52">
        <v>5.2867817595398129E-3</v>
      </c>
    </row>
    <row r="52" spans="1:42" x14ac:dyDescent="0.25">
      <c r="S52" s="49">
        <f t="shared" si="18"/>
        <v>0.65</v>
      </c>
      <c r="T52" s="53">
        <v>4155.0242340433888</v>
      </c>
      <c r="U52" s="53">
        <v>-4822.52683631324</v>
      </c>
      <c r="V52" s="14">
        <v>0.31730556209806471</v>
      </c>
      <c r="W52" s="14">
        <v>0.30365141372893673</v>
      </c>
      <c r="X52" s="14">
        <v>0.31348739953086902</v>
      </c>
      <c r="Y52" s="14">
        <v>0.32263113248878389</v>
      </c>
      <c r="Z52" s="14">
        <v>0.35143440693643352</v>
      </c>
      <c r="AA52" s="14">
        <v>0.38021643852663911</v>
      </c>
      <c r="AB52" s="14">
        <v>0.42573753066863324</v>
      </c>
      <c r="AC52" s="14">
        <v>0.4522131633260143</v>
      </c>
      <c r="AD52" s="14">
        <v>0.43055476379186558</v>
      </c>
      <c r="AE52" s="14">
        <v>0.4423662723378225</v>
      </c>
      <c r="AF52" s="14">
        <v>0.45637364369756267</v>
      </c>
      <c r="AG52" s="14">
        <v>0.45038099768600892</v>
      </c>
      <c r="AH52" s="14">
        <v>0.45518601275740245</v>
      </c>
      <c r="AI52" s="14">
        <v>0.47995444868060744</v>
      </c>
      <c r="AJ52" s="14">
        <v>0.44641637794005334</v>
      </c>
      <c r="AK52" s="14">
        <v>0.44506473367672883</v>
      </c>
      <c r="AL52" s="14">
        <v>0.43644852863933248</v>
      </c>
      <c r="AM52" s="14">
        <v>0.45354994996526649</v>
      </c>
      <c r="AN52" s="14">
        <v>0.42933540586466601</v>
      </c>
      <c r="AO52" s="14">
        <v>0.40808442085125096</v>
      </c>
      <c r="AP52" s="52">
        <v>4.7124417477656388E-3</v>
      </c>
    </row>
    <row r="53" spans="1:42" x14ac:dyDescent="0.25">
      <c r="B53" s="16" t="str">
        <f>B30</f>
        <v>Row Labels</v>
      </c>
      <c r="C53" s="16" t="s">
        <v>43</v>
      </c>
      <c r="D53" s="16" t="s">
        <v>44</v>
      </c>
      <c r="E53" s="16" t="s">
        <v>46</v>
      </c>
      <c r="F53" s="16" t="s">
        <v>47</v>
      </c>
      <c r="G53" s="41" t="str">
        <f>E30</f>
        <v>% to Ult</v>
      </c>
      <c r="H53" s="16" t="s">
        <v>48</v>
      </c>
      <c r="I53" s="16" t="s">
        <v>49</v>
      </c>
      <c r="J53" s="16" t="s">
        <v>50</v>
      </c>
      <c r="K53" s="18" t="s">
        <v>51</v>
      </c>
      <c r="L53" s="16" t="s">
        <v>52</v>
      </c>
      <c r="M53" s="16" t="s">
        <v>54</v>
      </c>
      <c r="N53" s="16" t="s">
        <v>53</v>
      </c>
      <c r="O53" s="16" t="s">
        <v>55</v>
      </c>
      <c r="S53" s="49">
        <f t="shared" si="18"/>
        <v>0.70000000000000007</v>
      </c>
      <c r="T53" s="53">
        <v>4101.5306548079971</v>
      </c>
      <c r="U53" s="53">
        <v>-4741.9231750684567</v>
      </c>
      <c r="V53" s="14">
        <v>0.32084903565631595</v>
      </c>
      <c r="W53" s="14">
        <v>0.31155497459250825</v>
      </c>
      <c r="X53" s="14">
        <v>0.3206408161215018</v>
      </c>
      <c r="Y53" s="14">
        <v>0.33020489271995085</v>
      </c>
      <c r="Z53" s="14">
        <v>0.35506580761328005</v>
      </c>
      <c r="AA53" s="14">
        <v>0.38026301918838218</v>
      </c>
      <c r="AB53" s="14">
        <v>0.41688774328450917</v>
      </c>
      <c r="AC53" s="14">
        <v>0.43887228040323512</v>
      </c>
      <c r="AD53" s="14">
        <v>0.42708248961716327</v>
      </c>
      <c r="AE53" s="14">
        <v>0.4377884988578194</v>
      </c>
      <c r="AF53" s="14">
        <v>0.44964447085550457</v>
      </c>
      <c r="AG53" s="14">
        <v>0.44729800701733852</v>
      </c>
      <c r="AH53" s="14">
        <v>0.45189343102130913</v>
      </c>
      <c r="AI53" s="14">
        <v>0.46992725539042501</v>
      </c>
      <c r="AJ53" s="14">
        <v>0.44620549368763568</v>
      </c>
      <c r="AK53" s="14">
        <v>0.4446965874817374</v>
      </c>
      <c r="AL53" s="14">
        <v>0.43790267384536868</v>
      </c>
      <c r="AM53" s="14">
        <v>0.44964743793686429</v>
      </c>
      <c r="AN53" s="14">
        <v>0.43098960380948936</v>
      </c>
      <c r="AO53" s="14">
        <v>0.41467475359132977</v>
      </c>
      <c r="AP53" s="52">
        <v>4.2379529667246106E-3</v>
      </c>
    </row>
    <row r="54" spans="1:42" x14ac:dyDescent="0.25">
      <c r="B54" s="12" t="str">
        <f t="shared" ref="B54:B72" si="19">B31</f>
        <v>201003</v>
      </c>
      <c r="C54" s="34"/>
      <c r="D54" s="34">
        <f ca="1">cas_lower!D28-cas_lower!C28</f>
        <v>105.89622400000007</v>
      </c>
      <c r="E54" s="34">
        <f ca="1">D54-C54</f>
        <v>105.89622400000007</v>
      </c>
      <c r="F54" s="34">
        <f ca="1">cas_lower!D28</f>
        <v>9455.5829360000007</v>
      </c>
      <c r="G54" s="14">
        <v>1</v>
      </c>
      <c r="H54" s="42">
        <f t="array" aca="1" ref="H54" ca="1">SUM($F$54:$F$73*$P$31^ABS(A31-$A$31:$A$50))/SUM($C$31:$C$50*$G$54:$G$73*$P$31^ABS(A31-$A$31:$A$50))</f>
        <v>0.33566776677017363</v>
      </c>
      <c r="I54" s="43">
        <f ca="1">(1-G54)*H54*C31</f>
        <v>0</v>
      </c>
      <c r="J54" s="43">
        <f ca="1">I54+F54</f>
        <v>9455.5829360000007</v>
      </c>
      <c r="K54" s="14">
        <f ca="1">J54/C31</f>
        <v>0.36751767172944849</v>
      </c>
      <c r="L54" s="43">
        <f ca="1">K31-J54</f>
        <v>-105.89622400000007</v>
      </c>
      <c r="M54" s="43">
        <f ca="1">(1-G54)*I31*C31</f>
        <v>0</v>
      </c>
      <c r="N54" s="43">
        <f ca="1">I54-M54</f>
        <v>0</v>
      </c>
      <c r="O54" s="43">
        <f ca="1">-(N54+E54)</f>
        <v>-105.89622400000007</v>
      </c>
      <c r="S54" s="49">
        <f t="shared" si="18"/>
        <v>0.75000000000000011</v>
      </c>
      <c r="T54" s="53">
        <v>4057.7109858769918</v>
      </c>
      <c r="U54" s="53">
        <v>-4669.7635698263966</v>
      </c>
      <c r="V54" s="14">
        <v>0.32681032139818905</v>
      </c>
      <c r="W54" s="14">
        <v>0.32109277873862085</v>
      </c>
      <c r="X54" s="14">
        <v>0.32932040938496288</v>
      </c>
      <c r="Y54" s="14">
        <v>0.33871226902195301</v>
      </c>
      <c r="Z54" s="14">
        <v>0.3595631476318098</v>
      </c>
      <c r="AA54" s="14">
        <v>0.38083379089481895</v>
      </c>
      <c r="AB54" s="14">
        <v>0.40948013062238969</v>
      </c>
      <c r="AC54" s="14">
        <v>0.42731756606766286</v>
      </c>
      <c r="AD54" s="14">
        <v>0.42237556077115485</v>
      </c>
      <c r="AE54" s="14">
        <v>0.43192887241446987</v>
      </c>
      <c r="AF54" s="14">
        <v>0.44194267596836678</v>
      </c>
      <c r="AG54" s="14">
        <v>0.44225889743711871</v>
      </c>
      <c r="AH54" s="14">
        <v>0.44673056431308727</v>
      </c>
      <c r="AI54" s="14">
        <v>0.45975534229630899</v>
      </c>
      <c r="AJ54" s="14">
        <v>0.4441298269281353</v>
      </c>
      <c r="AK54" s="14">
        <v>0.44301536917891648</v>
      </c>
      <c r="AL54" s="14">
        <v>0.43808512229540536</v>
      </c>
      <c r="AM54" s="14">
        <v>0.44582152007783066</v>
      </c>
      <c r="AN54" s="14">
        <v>0.43219212195845919</v>
      </c>
      <c r="AO54" s="14">
        <v>0.42038942650725275</v>
      </c>
      <c r="AP54" s="52">
        <v>3.8653416198921858E-3</v>
      </c>
    </row>
    <row r="55" spans="1:42" x14ac:dyDescent="0.25">
      <c r="B55" s="12" t="str">
        <f t="shared" si="19"/>
        <v>201006</v>
      </c>
      <c r="C55" s="34">
        <f t="shared" ref="C55:C72" ca="1" si="20">C32*I32*(E31-E32)</f>
        <v>-41.343662317291489</v>
      </c>
      <c r="D55" s="34">
        <f ca="1">cas_lower!D29-cas_lower!C29</f>
        <v>40.979710999999952</v>
      </c>
      <c r="E55" s="34">
        <f t="shared" ref="E55:E73" ca="1" si="21">D55-C55</f>
        <v>82.323373317291441</v>
      </c>
      <c r="F55" s="34">
        <f ca="1">cas_lower!D29</f>
        <v>5807.6562590000003</v>
      </c>
      <c r="G55" s="14">
        <f ca="1">E31</f>
        <v>1</v>
      </c>
      <c r="H55" s="42">
        <f t="array" aca="1" ref="H55" ca="1">SUM($F$54:$F$73*$P$31^ABS(A32-$A$31:$A$50))/SUM($C$31:$C$50*$G$54:$G$73*$P$31^ABS(A32-$A$31:$A$50))</f>
        <v>0.33268928786193352</v>
      </c>
      <c r="I55" s="43">
        <f t="shared" ref="I55:I73" ca="1" si="22">(1-G55)*H55*C32</f>
        <v>0</v>
      </c>
      <c r="J55" s="43">
        <f t="shared" ref="J55:J73" ca="1" si="23">I55+F55</f>
        <v>5807.6562590000003</v>
      </c>
      <c r="K55" s="14">
        <f t="shared" ref="K55:K73" ca="1" si="24">J55/C32</f>
        <v>0.22358336708777077</v>
      </c>
      <c r="L55" s="43">
        <f t="shared" ref="L55:L73" ca="1" si="25">K32-J55</f>
        <v>-82.323373317291043</v>
      </c>
      <c r="M55" s="43">
        <f t="shared" ref="M55:M73" ca="1" si="26">(1-G55)*I32*C32</f>
        <v>0</v>
      </c>
      <c r="N55" s="43">
        <f t="shared" ref="N55:N73" ca="1" si="27">I55-M55</f>
        <v>0</v>
      </c>
      <c r="O55" s="43">
        <f t="shared" ref="O55:O73" ca="1" si="28">-(N55+E55)</f>
        <v>-82.323373317291441</v>
      </c>
      <c r="S55" s="49">
        <f t="shared" si="18"/>
        <v>0.80000000000000016</v>
      </c>
      <c r="T55" s="53">
        <v>4034.6377871220211</v>
      </c>
      <c r="U55" s="53">
        <v>-4618.1681336784877</v>
      </c>
      <c r="V55" s="14">
        <v>0.33566776677017346</v>
      </c>
      <c r="W55" s="14">
        <v>0.33268928786193347</v>
      </c>
      <c r="X55" s="14">
        <v>0.33980969816385376</v>
      </c>
      <c r="Y55" s="14">
        <v>0.34838186015796196</v>
      </c>
      <c r="Z55" s="14">
        <v>0.36508935421002259</v>
      </c>
      <c r="AA55" s="14">
        <v>0.38216417764094945</v>
      </c>
      <c r="AB55" s="14">
        <v>0.40366299725446919</v>
      </c>
      <c r="AC55" s="14">
        <v>0.41760756479799038</v>
      </c>
      <c r="AD55" s="14">
        <v>0.41695478805288427</v>
      </c>
      <c r="AE55" s="14">
        <v>0.42513180156861863</v>
      </c>
      <c r="AF55" s="14">
        <v>0.43337712831301017</v>
      </c>
      <c r="AG55" s="14">
        <v>0.43534893558940613</v>
      </c>
      <c r="AH55" s="14">
        <v>0.43960522913347599</v>
      </c>
      <c r="AI55" s="14">
        <v>0.44892408822126517</v>
      </c>
      <c r="AJ55" s="14">
        <v>0.43972320410566862</v>
      </c>
      <c r="AK55" s="14">
        <v>0.43933331163825351</v>
      </c>
      <c r="AL55" s="14">
        <v>0.4362640503439929</v>
      </c>
      <c r="AM55" s="14">
        <v>0.44119308521752215</v>
      </c>
      <c r="AN55" s="14">
        <v>0.43207007662325853</v>
      </c>
      <c r="AO55" s="14">
        <v>0.4242698578608744</v>
      </c>
      <c r="AP55" s="52">
        <v>3.5971674465591326E-3</v>
      </c>
    </row>
    <row r="56" spans="1:42" x14ac:dyDescent="0.25">
      <c r="B56" s="12" t="str">
        <f t="shared" si="19"/>
        <v>201009</v>
      </c>
      <c r="C56" s="34">
        <f t="shared" ca="1" si="20"/>
        <v>-28.55779592262903</v>
      </c>
      <c r="D56" s="34">
        <f ca="1">cas_lower!D30-cas_lower!C30</f>
        <v>1.0230390000006082</v>
      </c>
      <c r="E56" s="34">
        <f t="shared" ca="1" si="21"/>
        <v>29.580834922629638</v>
      </c>
      <c r="F56" s="34">
        <f ca="1">cas_lower!D30</f>
        <v>7821.9049610000002</v>
      </c>
      <c r="G56" s="14">
        <f t="shared" ref="G56:G73" ca="1" si="29">E32</f>
        <v>1.0041467566983007</v>
      </c>
      <c r="H56" s="42">
        <f t="array" aca="1" ref="H56" ca="1">SUM($F$54:$F$73*$P$31^ABS(A33-$A$31:$A$50))/SUM($C$31:$C$50*$G$54:$G$73*$P$31^ABS(A33-$A$31:$A$50))</f>
        <v>0.3398096981638537</v>
      </c>
      <c r="I56" s="43">
        <f t="shared" ca="1" si="22"/>
        <v>-35.163575320491042</v>
      </c>
      <c r="J56" s="43">
        <f t="shared" ca="1" si="23"/>
        <v>7786.7413856795092</v>
      </c>
      <c r="K56" s="14">
        <f t="shared" ca="1" si="24"/>
        <v>0.31203768633508328</v>
      </c>
      <c r="L56" s="43">
        <f t="shared" ca="1" si="25"/>
        <v>-34.360027075578728</v>
      </c>
      <c r="M56" s="43">
        <f t="shared" ca="1" si="26"/>
        <v>-39.942767473440263</v>
      </c>
      <c r="N56" s="43">
        <f t="shared" ca="1" si="27"/>
        <v>4.7791921529492214</v>
      </c>
      <c r="O56" s="43">
        <f t="shared" ca="1" si="28"/>
        <v>-34.360027075578856</v>
      </c>
      <c r="S56" s="49">
        <f t="shared" si="18"/>
        <v>0.8500000000000002</v>
      </c>
      <c r="T56" s="53">
        <v>4048.5094300691567</v>
      </c>
      <c r="U56" s="53">
        <v>-4603.6990663331344</v>
      </c>
      <c r="V56" s="14">
        <v>0.3477523669719349</v>
      </c>
      <c r="W56" s="14">
        <v>0.34662910886694343</v>
      </c>
      <c r="X56" s="14">
        <v>0.35227988886466438</v>
      </c>
      <c r="Y56" s="14">
        <v>0.35934250213336549</v>
      </c>
      <c r="Z56" s="14">
        <v>0.37174023139350931</v>
      </c>
      <c r="AA56" s="14">
        <v>0.3844217545455898</v>
      </c>
      <c r="AB56" s="14">
        <v>0.39951482810418409</v>
      </c>
      <c r="AC56" s="14">
        <v>0.40974855659829901</v>
      </c>
      <c r="AD56" s="14">
        <v>0.41129600003082606</v>
      </c>
      <c r="AE56" s="14">
        <v>0.41780078526413389</v>
      </c>
      <c r="AF56" s="14">
        <v>0.42419723589859198</v>
      </c>
      <c r="AG56" s="14">
        <v>0.42683798648424831</v>
      </c>
      <c r="AH56" s="14">
        <v>0.43060126924000608</v>
      </c>
      <c r="AI56" s="14">
        <v>0.43707374157530615</v>
      </c>
      <c r="AJ56" s="14">
        <v>0.43258118028622417</v>
      </c>
      <c r="AK56" s="14">
        <v>0.43292396758172874</v>
      </c>
      <c r="AL56" s="14">
        <v>0.43150800139868001</v>
      </c>
      <c r="AM56" s="14">
        <v>0.43457648756174805</v>
      </c>
      <c r="AN56" s="14">
        <v>0.42927919520070673</v>
      </c>
      <c r="AO56" s="14">
        <v>0.42480075553493846</v>
      </c>
      <c r="AP56" s="52">
        <v>3.4302401466722327E-3</v>
      </c>
    </row>
    <row r="57" spans="1:42" x14ac:dyDescent="0.25">
      <c r="B57" s="12" t="str">
        <f t="shared" si="19"/>
        <v>201012</v>
      </c>
      <c r="C57" s="34">
        <f t="shared" ca="1" si="20"/>
        <v>12.920461634820063</v>
      </c>
      <c r="D57" s="34">
        <f ca="1">cas_lower!D31-cas_lower!C31</f>
        <v>-129.86790100000053</v>
      </c>
      <c r="E57" s="34">
        <f t="shared" ca="1" si="21"/>
        <v>-142.7883626348206</v>
      </c>
      <c r="F57" s="34">
        <f ca="1">cas_lower!D31</f>
        <v>5920.8183879999997</v>
      </c>
      <c r="G57" s="14">
        <f t="shared" ca="1" si="29"/>
        <v>1.0071115545583791</v>
      </c>
      <c r="H57" s="42">
        <f t="array" aca="1" ref="H57" ca="1">SUM($F$54:$F$73*$P$31^ABS(A34-$A$31:$A$50))/SUM($C$31:$C$50*$G$54:$G$73*$P$31^ABS(A34-$A$31:$A$50))</f>
        <v>0.34838186015796191</v>
      </c>
      <c r="I57" s="43">
        <f t="shared" ca="1" si="22"/>
        <v>-60.645612260879815</v>
      </c>
      <c r="J57" s="43">
        <f t="shared" ca="1" si="23"/>
        <v>5860.17277573912</v>
      </c>
      <c r="K57" s="14">
        <f t="shared" ca="1" si="24"/>
        <v>0.23940384186324035</v>
      </c>
      <c r="L57" s="43">
        <f t="shared" ca="1" si="25"/>
        <v>134.29299716874812</v>
      </c>
      <c r="M57" s="43">
        <f t="shared" ca="1" si="26"/>
        <v>-69.140977726952315</v>
      </c>
      <c r="N57" s="43">
        <f t="shared" ca="1" si="27"/>
        <v>8.4953654660724993</v>
      </c>
      <c r="O57" s="43">
        <f t="shared" ca="1" si="28"/>
        <v>134.29299716874812</v>
      </c>
      <c r="S57" s="49">
        <f t="shared" si="18"/>
        <v>0.90000000000000024</v>
      </c>
      <c r="T57" s="53">
        <v>4114.692296705678</v>
      </c>
      <c r="U57" s="53">
        <v>-4639.8778449987722</v>
      </c>
      <c r="V57" s="14">
        <v>0.36286332685260708</v>
      </c>
      <c r="W57" s="14">
        <v>0.36272598552801155</v>
      </c>
      <c r="X57" s="14">
        <v>0.36653540205759577</v>
      </c>
      <c r="Y57" s="14">
        <v>0.37145286973465408</v>
      </c>
      <c r="Z57" s="14">
        <v>0.37944001896301416</v>
      </c>
      <c r="AA57" s="14">
        <v>0.38764909046953866</v>
      </c>
      <c r="AB57" s="14">
        <v>0.39701547785511515</v>
      </c>
      <c r="AC57" s="14">
        <v>0.40367785476027651</v>
      </c>
      <c r="AD57" s="14">
        <v>0.40579167038130004</v>
      </c>
      <c r="AE57" s="14">
        <v>0.41033482606252475</v>
      </c>
      <c r="AF57" s="14">
        <v>0.41473303761286612</v>
      </c>
      <c r="AG57" s="14">
        <v>0.4171498822410607</v>
      </c>
      <c r="AH57" s="14">
        <v>0.42002328241345072</v>
      </c>
      <c r="AI57" s="14">
        <v>0.42412480103656491</v>
      </c>
      <c r="AJ57" s="14">
        <v>0.42260030340838889</v>
      </c>
      <c r="AK57" s="14">
        <v>0.42333802936607473</v>
      </c>
      <c r="AL57" s="14">
        <v>0.42306548521580345</v>
      </c>
      <c r="AM57" s="14">
        <v>0.42486543059728438</v>
      </c>
      <c r="AN57" s="14">
        <v>0.42242960950761427</v>
      </c>
      <c r="AO57" s="14">
        <v>0.42037544325971388</v>
      </c>
      <c r="AP57" s="52">
        <v>3.3485658077891715E-3</v>
      </c>
    </row>
    <row r="58" spans="1:42" x14ac:dyDescent="0.25">
      <c r="B58" s="12" t="str">
        <f t="shared" si="19"/>
        <v>201103</v>
      </c>
      <c r="C58" s="34">
        <f t="shared" ca="1" si="20"/>
        <v>333.43125400485116</v>
      </c>
      <c r="D58" s="34">
        <f ca="1">cas_lower!D32-cas_lower!C32</f>
        <v>200.81802100000095</v>
      </c>
      <c r="E58" s="34">
        <f t="shared" ca="1" si="21"/>
        <v>-132.6132330048502</v>
      </c>
      <c r="F58" s="34">
        <f ca="1">cas_lower!D32</f>
        <v>8708.8686620000008</v>
      </c>
      <c r="G58" s="14">
        <f t="shared" ca="1" si="29"/>
        <v>1.0057826093965341</v>
      </c>
      <c r="H58" s="42">
        <f t="array" aca="1" ref="H58" ca="1">SUM($F$54:$F$73*$P$31^ABS(A35-$A$31:$A$50))/SUM($C$31:$C$50*$G$54:$G$73*$P$31^ABS(A35-$A$31:$A$50))</f>
        <v>0.36508935421002231</v>
      </c>
      <c r="I58" s="43">
        <f t="shared" ca="1" si="22"/>
        <v>-50.455760380004349</v>
      </c>
      <c r="J58" s="43">
        <f t="shared" ca="1" si="23"/>
        <v>8658.4129016199968</v>
      </c>
      <c r="K58" s="14">
        <f t="shared" ca="1" si="24"/>
        <v>0.36228517610299493</v>
      </c>
      <c r="L58" s="43">
        <f t="shared" ca="1" si="25"/>
        <v>126.8013764615971</v>
      </c>
      <c r="M58" s="43">
        <f t="shared" ca="1" si="26"/>
        <v>-56.267616923257407</v>
      </c>
      <c r="N58" s="43">
        <f t="shared" ca="1" si="27"/>
        <v>5.8118565432530573</v>
      </c>
      <c r="O58" s="43">
        <f t="shared" ca="1" si="28"/>
        <v>126.80137646159714</v>
      </c>
      <c r="S58" s="49">
        <f>S57+5%</f>
        <v>0.95000000000000029</v>
      </c>
      <c r="T58" s="53">
        <v>4236.4088287428985</v>
      </c>
      <c r="U58" s="53">
        <v>-4726.3551653715167</v>
      </c>
      <c r="V58" s="14">
        <v>0.37979526186592399</v>
      </c>
      <c r="W58" s="14">
        <v>0.37992904324867521</v>
      </c>
      <c r="X58" s="14">
        <v>0.38172142221926697</v>
      </c>
      <c r="Y58" s="14">
        <v>0.38412094743090963</v>
      </c>
      <c r="Z58" s="14">
        <v>0.38783692988165536</v>
      </c>
      <c r="AA58" s="14">
        <v>0.39171099869819559</v>
      </c>
      <c r="AB58" s="14">
        <v>0.39602455858166896</v>
      </c>
      <c r="AC58" s="14">
        <v>0.39925730494405481</v>
      </c>
      <c r="AD58" s="14">
        <v>0.40072785856363663</v>
      </c>
      <c r="AE58" s="14">
        <v>0.40307609082749646</v>
      </c>
      <c r="AF58" s="14">
        <v>0.40532722190369253</v>
      </c>
      <c r="AG58" s="14">
        <v>0.4067933979790358</v>
      </c>
      <c r="AH58" s="14">
        <v>0.40837601470357376</v>
      </c>
      <c r="AI58" s="14">
        <v>0.41034182801706037</v>
      </c>
      <c r="AJ58" s="14">
        <v>0.41018882731529144</v>
      </c>
      <c r="AK58" s="14">
        <v>0.41078581918306872</v>
      </c>
      <c r="AL58" s="14">
        <v>0.41095173677861252</v>
      </c>
      <c r="AM58" s="14">
        <v>0.41176325332972469</v>
      </c>
      <c r="AN58" s="14">
        <v>0.41104205880480582</v>
      </c>
      <c r="AO58" s="14">
        <v>0.41042175903613576</v>
      </c>
      <c r="AP58" s="52">
        <v>3.3247638357917046E-3</v>
      </c>
    </row>
    <row r="59" spans="1:42" x14ac:dyDescent="0.25">
      <c r="B59" s="12" t="str">
        <f t="shared" si="19"/>
        <v>201106</v>
      </c>
      <c r="C59" s="34">
        <f t="shared" ca="1" si="20"/>
        <v>66.714157357329626</v>
      </c>
      <c r="D59" s="34">
        <f ca="1">cas_lower!D33-cas_lower!C33</f>
        <v>69.589942999999948</v>
      </c>
      <c r="E59" s="34">
        <f t="shared" ca="1" si="21"/>
        <v>2.8757856426703228</v>
      </c>
      <c r="F59" s="34">
        <f ca="1">cas_lower!D33</f>
        <v>7050.8121199999996</v>
      </c>
      <c r="G59" s="14">
        <f t="shared" ca="1" si="29"/>
        <v>0.97151595998189288</v>
      </c>
      <c r="H59" s="42">
        <f t="array" aca="1" ref="H59" ca="1">SUM($F$54:$F$73*$P$31^ABS(A36-$A$31:$A$50))/SUM($C$31:$C$50*$G$54:$G$73*$P$31^ABS(A36-$A$31:$A$50))</f>
        <v>0.3821641776409494</v>
      </c>
      <c r="I59" s="43">
        <f t="shared" ca="1" si="22"/>
        <v>236.54637109216668</v>
      </c>
      <c r="J59" s="43">
        <f t="shared" ca="1" si="23"/>
        <v>7287.3584910921663</v>
      </c>
      <c r="K59" s="14">
        <f t="shared" ca="1" si="24"/>
        <v>0.33535548021863859</v>
      </c>
      <c r="L59" s="43">
        <f t="shared" ca="1" si="25"/>
        <v>20.771497063397874</v>
      </c>
      <c r="M59" s="43">
        <f t="shared" ca="1" si="26"/>
        <v>260.19365379823518</v>
      </c>
      <c r="N59" s="43">
        <f t="shared" ca="1" si="27"/>
        <v>-23.647282706068495</v>
      </c>
      <c r="O59" s="43">
        <f t="shared" ca="1" si="28"/>
        <v>20.771497063398172</v>
      </c>
      <c r="S59" s="49">
        <f t="shared" ref="S59" si="30">S58+5%</f>
        <v>1.0000000000000002</v>
      </c>
      <c r="T59" s="53">
        <v>4397.9670688412971</v>
      </c>
      <c r="U59" s="53">
        <v>-4845.7818689633295</v>
      </c>
      <c r="V59" s="14">
        <v>0.39627951295395819</v>
      </c>
      <c r="W59" s="14">
        <v>0.39627951295395836</v>
      </c>
      <c r="X59" s="14">
        <v>0.39627951295395836</v>
      </c>
      <c r="Y59" s="14">
        <v>0.39627951295395819</v>
      </c>
      <c r="Z59" s="14">
        <v>0.39627951295395819</v>
      </c>
      <c r="AA59" s="14">
        <v>0.39627951295395808</v>
      </c>
      <c r="AB59" s="14">
        <v>0.39627951295395802</v>
      </c>
      <c r="AC59" s="14">
        <v>0.39627951295395814</v>
      </c>
      <c r="AD59" s="14">
        <v>0.39627951295395825</v>
      </c>
      <c r="AE59" s="14">
        <v>0.3962795129539583</v>
      </c>
      <c r="AF59" s="14">
        <v>0.39627951295395825</v>
      </c>
      <c r="AG59" s="14">
        <v>0.3962795129539583</v>
      </c>
      <c r="AH59" s="14">
        <v>0.39627951295395814</v>
      </c>
      <c r="AI59" s="14">
        <v>0.39627951295395802</v>
      </c>
      <c r="AJ59" s="14">
        <v>0.39627951295395802</v>
      </c>
      <c r="AK59" s="14">
        <v>0.39627951295395802</v>
      </c>
      <c r="AL59" s="14">
        <v>0.39627951295395808</v>
      </c>
      <c r="AM59" s="14">
        <v>0.39627951295395808</v>
      </c>
      <c r="AN59" s="14">
        <v>0.39627951295395808</v>
      </c>
      <c r="AO59" s="14">
        <v>0.39627951295395808</v>
      </c>
      <c r="AP59" s="52">
        <v>3.333135937641622E-3</v>
      </c>
    </row>
    <row r="60" spans="1:42" x14ac:dyDescent="0.25">
      <c r="B60" s="12" t="str">
        <f t="shared" si="19"/>
        <v>201109</v>
      </c>
      <c r="C60" s="34">
        <f t="shared" ca="1" si="20"/>
        <v>-109.90215610833945</v>
      </c>
      <c r="D60" s="34">
        <f ca="1">cas_lower!D34-cas_lower!C34</f>
        <v>1056.9742800000004</v>
      </c>
      <c r="E60" s="34">
        <f t="shared" ca="1" si="21"/>
        <v>1166.8764361083399</v>
      </c>
      <c r="F60" s="34">
        <f ca="1">cas_lower!D34</f>
        <v>8560.5976740000006</v>
      </c>
      <c r="G60" s="14">
        <f t="shared" ca="1" si="29"/>
        <v>0.96421259688982441</v>
      </c>
      <c r="H60" s="42">
        <f t="array" aca="1" ref="H60" ca="1">SUM($F$54:$F$73*$P$31^ABS(A37-$A$31:$A$50))/SUM($C$31:$C$50*$G$54:$G$73*$P$31^ABS(A37-$A$31:$A$50))</f>
        <v>0.4036629972544693</v>
      </c>
      <c r="I60" s="43">
        <f t="shared" ca="1" si="22"/>
        <v>220.03877558181472</v>
      </c>
      <c r="J60" s="43">
        <f t="shared" ca="1" si="23"/>
        <v>8780.6364495818161</v>
      </c>
      <c r="K60" s="14">
        <f t="shared" ca="1" si="24"/>
        <v>0.57646892639380021</v>
      </c>
      <c r="L60" s="43">
        <f t="shared" ca="1" si="25"/>
        <v>-1145.9807784849991</v>
      </c>
      <c r="M60" s="43">
        <f t="shared" ca="1" si="26"/>
        <v>240.93443320515613</v>
      </c>
      <c r="N60" s="43">
        <f t="shared" ca="1" si="27"/>
        <v>-20.895657623341407</v>
      </c>
      <c r="O60" s="43">
        <f t="shared" ca="1" si="28"/>
        <v>-1145.9807784849986</v>
      </c>
    </row>
    <row r="61" spans="1:42" x14ac:dyDescent="0.25">
      <c r="B61" s="12" t="str">
        <f t="shared" si="19"/>
        <v>201112</v>
      </c>
      <c r="C61" s="34">
        <f t="shared" ca="1" si="20"/>
        <v>-99.704293938559232</v>
      </c>
      <c r="D61" s="34">
        <f ca="1">cas_lower!D35-cas_lower!C35</f>
        <v>562.82290699999976</v>
      </c>
      <c r="E61" s="34">
        <f t="shared" ca="1" si="21"/>
        <v>662.52720093855896</v>
      </c>
      <c r="F61" s="34">
        <f ca="1">cas_lower!D35</f>
        <v>9206.9378130000005</v>
      </c>
      <c r="G61" s="14">
        <f t="shared" ca="1" si="29"/>
        <v>0.98053700810412991</v>
      </c>
      <c r="H61" s="42">
        <f t="array" aca="1" ref="H61" ca="1">SUM($F$54:$F$73*$P$31^ABS(A38-$A$31:$A$50))/SUM($C$31:$C$50*$G$54:$G$73*$P$31^ABS(A38-$A$31:$A$50))</f>
        <v>0.41760756479799038</v>
      </c>
      <c r="I61" s="43">
        <f t="shared" ca="1" si="22"/>
        <v>97.453597048746289</v>
      </c>
      <c r="J61" s="43">
        <f t="shared" ca="1" si="23"/>
        <v>9304.3914100487473</v>
      </c>
      <c r="K61" s="14">
        <f t="shared" ca="1" si="24"/>
        <v>0.77601132065221601</v>
      </c>
      <c r="L61" s="43">
        <f t="shared" ca="1" si="25"/>
        <v>-652.45427647846918</v>
      </c>
      <c r="M61" s="43">
        <f t="shared" ca="1" si="26"/>
        <v>107.5265215088365</v>
      </c>
      <c r="N61" s="43">
        <f t="shared" ca="1" si="27"/>
        <v>-10.072924460090206</v>
      </c>
      <c r="O61" s="43">
        <f t="shared" ca="1" si="28"/>
        <v>-652.45427647846873</v>
      </c>
    </row>
    <row r="62" spans="1:42" x14ac:dyDescent="0.25">
      <c r="B62" s="12" t="str">
        <f t="shared" si="19"/>
        <v>201203</v>
      </c>
      <c r="C62" s="34">
        <f t="shared" ca="1" si="20"/>
        <v>264.0873915985718</v>
      </c>
      <c r="D62" s="34">
        <f ca="1">cas_lower!D36-cas_lower!C36</f>
        <v>421.70157100000006</v>
      </c>
      <c r="E62" s="34">
        <f t="shared" ca="1" si="21"/>
        <v>157.61417940142826</v>
      </c>
      <c r="F62" s="34">
        <f ca="1">cas_lower!D36</f>
        <v>2504.5055510000002</v>
      </c>
      <c r="G62" s="14">
        <f t="shared" ca="1" si="29"/>
        <v>0.99858412650505535</v>
      </c>
      <c r="H62" s="42">
        <f t="array" aca="1" ref="H62" ca="1">SUM($F$54:$F$73*$P$31^ABS(A39-$A$31:$A$50))/SUM($C$31:$C$50*$G$54:$G$73*$P$31^ABS(A39-$A$31:$A$50))</f>
        <v>0.41695478805288422</v>
      </c>
      <c r="I62" s="43">
        <f t="shared" ca="1" si="22"/>
        <v>6.9255400060603174</v>
      </c>
      <c r="J62" s="43">
        <f t="shared" ca="1" si="23"/>
        <v>2511.4310910060603</v>
      </c>
      <c r="K62" s="14">
        <f t="shared" ca="1" si="24"/>
        <v>0.21408243769911303</v>
      </c>
      <c r="L62" s="43">
        <f t="shared" ca="1" si="25"/>
        <v>-156.80552944241799</v>
      </c>
      <c r="M62" s="43">
        <f t="shared" ca="1" si="26"/>
        <v>7.7341899650704171</v>
      </c>
      <c r="N62" s="43">
        <f t="shared" ca="1" si="27"/>
        <v>-0.80864995901009973</v>
      </c>
      <c r="O62" s="43">
        <f t="shared" ca="1" si="28"/>
        <v>-156.80552944241816</v>
      </c>
    </row>
    <row r="63" spans="1:42" x14ac:dyDescent="0.25">
      <c r="B63" s="12" t="str">
        <f t="shared" si="19"/>
        <v>201206</v>
      </c>
      <c r="C63" s="34">
        <f t="shared" ca="1" si="20"/>
        <v>148.30873958186217</v>
      </c>
      <c r="D63" s="34">
        <f ca="1">cas_lower!D37-cas_lower!C37</f>
        <v>118.91672699999981</v>
      </c>
      <c r="E63" s="34">
        <f t="shared" ca="1" si="21"/>
        <v>-29.39201258186236</v>
      </c>
      <c r="F63" s="34">
        <f ca="1">cas_lower!D37</f>
        <v>4719.5838999999996</v>
      </c>
      <c r="G63" s="14">
        <f t="shared" ca="1" si="29"/>
        <v>0.95023848981883741</v>
      </c>
      <c r="H63" s="42">
        <f t="array" aca="1" ref="H63" ca="1">SUM($F$54:$F$73*$P$31^ABS(A40-$A$31:$A$50))/SUM($C$31:$C$50*$G$54:$G$73*$P$31^ABS(A40-$A$31:$A$50))</f>
        <v>0.42513180156861857</v>
      </c>
      <c r="I63" s="43">
        <f t="shared" ca="1" si="22"/>
        <v>243.34552508546227</v>
      </c>
      <c r="J63" s="43">
        <f t="shared" ca="1" si="23"/>
        <v>4962.9294250854618</v>
      </c>
      <c r="K63" s="14">
        <f t="shared" ca="1" si="24"/>
        <v>0.43145139767685653</v>
      </c>
      <c r="L63" s="43">
        <f t="shared" ca="1" si="25"/>
        <v>55.52569998456147</v>
      </c>
      <c r="M63" s="43">
        <f t="shared" ca="1" si="26"/>
        <v>269.47921248816158</v>
      </c>
      <c r="N63" s="43">
        <f t="shared" ca="1" si="27"/>
        <v>-26.133687402699309</v>
      </c>
      <c r="O63" s="43">
        <f t="shared" ca="1" si="28"/>
        <v>55.525699984561669</v>
      </c>
    </row>
    <row r="64" spans="1:42" x14ac:dyDescent="0.25">
      <c r="B64" s="12" t="str">
        <f t="shared" si="19"/>
        <v>201209</v>
      </c>
      <c r="C64" s="34">
        <f t="shared" ca="1" si="20"/>
        <v>177.88530829247324</v>
      </c>
      <c r="D64" s="34">
        <f ca="1">cas_lower!D38-cas_lower!C38</f>
        <v>198.9928259999997</v>
      </c>
      <c r="E64" s="34">
        <f t="shared" ca="1" si="21"/>
        <v>21.107517707526455</v>
      </c>
      <c r="F64" s="34">
        <f ca="1">cas_lower!D38</f>
        <v>7024.7013589999997</v>
      </c>
      <c r="G64" s="14">
        <f t="shared" ca="1" si="29"/>
        <v>0.92285208481001901</v>
      </c>
      <c r="H64" s="42">
        <f t="array" aca="1" ref="H64" ca="1">SUM($F$54:$F$73*$P$31^ABS(A41-$A$31:$A$50))/SUM($C$31:$C$50*$G$54:$G$73*$P$31^ABS(A41-$A$31:$A$50))</f>
        <v>0.43337712831301006</v>
      </c>
      <c r="I64" s="43">
        <f t="shared" ca="1" si="22"/>
        <v>445.22709520143786</v>
      </c>
      <c r="J64" s="43">
        <f t="shared" ca="1" si="23"/>
        <v>7469.9284542014375</v>
      </c>
      <c r="K64" s="14">
        <f t="shared" ca="1" si="24"/>
        <v>0.56095114361622533</v>
      </c>
      <c r="L64" s="43">
        <f t="shared" ca="1" si="25"/>
        <v>24.755832127128997</v>
      </c>
      <c r="M64" s="43">
        <f t="shared" ca="1" si="26"/>
        <v>491.090445036093</v>
      </c>
      <c r="N64" s="43">
        <f t="shared" ca="1" si="27"/>
        <v>-45.863349834655139</v>
      </c>
      <c r="O64" s="43">
        <f t="shared" ca="1" si="28"/>
        <v>24.755832127128684</v>
      </c>
    </row>
    <row r="65" spans="2:15" x14ac:dyDescent="0.25">
      <c r="B65" s="12" t="str">
        <f t="shared" si="19"/>
        <v>201212</v>
      </c>
      <c r="C65" s="34">
        <f t="shared" ca="1" si="20"/>
        <v>-44.580664293237902</v>
      </c>
      <c r="D65" s="34">
        <f ca="1">cas_lower!D39-cas_lower!C39</f>
        <v>-123.4855290000005</v>
      </c>
      <c r="E65" s="34">
        <f t="shared" ca="1" si="21"/>
        <v>-78.904864706762595</v>
      </c>
      <c r="F65" s="34">
        <f ca="1">cas_lower!D39</f>
        <v>4983.9001289999997</v>
      </c>
      <c r="G65" s="14">
        <f t="shared" ca="1" si="29"/>
        <v>0.8949071699447283</v>
      </c>
      <c r="H65" s="42">
        <f t="array" aca="1" ref="H65" ca="1">SUM($F$54:$F$73*$P$31^ABS(A42-$A$31:$A$50))/SUM($C$31:$C$50*$G$54:$G$73*$P$31^ABS(A42-$A$31:$A$50))</f>
        <v>0.43534893558940618</v>
      </c>
      <c r="I65" s="43">
        <f t="shared" ca="1" si="22"/>
        <v>652.86989141365314</v>
      </c>
      <c r="J65" s="43">
        <f t="shared" ca="1" si="23"/>
        <v>5636.7700204136527</v>
      </c>
      <c r="K65" s="14">
        <f t="shared" ca="1" si="24"/>
        <v>0.39501560234527971</v>
      </c>
      <c r="L65" s="43">
        <f t="shared" ca="1" si="25"/>
        <v>145.22554650639177</v>
      </c>
      <c r="M65" s="43">
        <f t="shared" ca="1" si="26"/>
        <v>719.19057321328239</v>
      </c>
      <c r="N65" s="43">
        <f t="shared" ca="1" si="27"/>
        <v>-66.320681799629256</v>
      </c>
      <c r="O65" s="43">
        <f t="shared" ca="1" si="28"/>
        <v>145.22554650639185</v>
      </c>
    </row>
    <row r="66" spans="2:15" x14ac:dyDescent="0.25">
      <c r="B66" s="12" t="str">
        <f t="shared" si="19"/>
        <v>201303</v>
      </c>
      <c r="C66" s="34">
        <f t="shared" ca="1" si="20"/>
        <v>196.14981803641129</v>
      </c>
      <c r="D66" s="34">
        <f ca="1">cas_lower!D40-cas_lower!C40</f>
        <v>-80.448113000000376</v>
      </c>
      <c r="E66" s="34">
        <f t="shared" ca="1" si="21"/>
        <v>-276.59793103641164</v>
      </c>
      <c r="F66" s="34">
        <f ca="1">cas_lower!D40</f>
        <v>4766.701849</v>
      </c>
      <c r="G66" s="14">
        <f t="shared" ca="1" si="29"/>
        <v>0.90142158816824269</v>
      </c>
      <c r="H66" s="42">
        <f t="array" aca="1" ref="H66" ca="1">SUM($F$54:$F$73*$P$31^ABS(A43-$A$31:$A$50))/SUM($C$31:$C$50*$G$54:$G$73*$P$31^ABS(A43-$A$31:$A$50))</f>
        <v>0.43960522913347599</v>
      </c>
      <c r="I66" s="43">
        <f t="shared" ca="1" si="22"/>
        <v>658.40275671799941</v>
      </c>
      <c r="J66" s="43">
        <f t="shared" ca="1" si="23"/>
        <v>5425.1046057179992</v>
      </c>
      <c r="K66" s="14">
        <f t="shared" ca="1" si="24"/>
        <v>0.3570763960465474</v>
      </c>
      <c r="L66" s="43">
        <f t="shared" ca="1" si="25"/>
        <v>347.48250652655224</v>
      </c>
      <c r="M66" s="43">
        <f t="shared" ca="1" si="26"/>
        <v>729.28733220813979</v>
      </c>
      <c r="N66" s="43">
        <f t="shared" ca="1" si="27"/>
        <v>-70.884575490140378</v>
      </c>
      <c r="O66" s="43">
        <f t="shared" ca="1" si="28"/>
        <v>347.48250652655202</v>
      </c>
    </row>
    <row r="67" spans="2:15" x14ac:dyDescent="0.25">
      <c r="B67" s="12" t="str">
        <f t="shared" si="19"/>
        <v>201306</v>
      </c>
      <c r="C67" s="34">
        <f t="shared" ca="1" si="20"/>
        <v>103.64424416229289</v>
      </c>
      <c r="D67" s="34">
        <f ca="1">cas_lower!D41-cas_lower!C41</f>
        <v>488.91991999999846</v>
      </c>
      <c r="E67" s="34">
        <f t="shared" ca="1" si="21"/>
        <v>385.27567583770553</v>
      </c>
      <c r="F67" s="34">
        <f ca="1">cas_lower!D41</f>
        <v>10614.361279999999</v>
      </c>
      <c r="G67" s="14">
        <f t="shared" ca="1" si="29"/>
        <v>0.87490784428546942</v>
      </c>
      <c r="H67" s="42">
        <f t="array" aca="1" ref="H67" ca="1">SUM($F$54:$F$73*$P$31^ABS(A44-$A$31:$A$50))/SUM($C$31:$C$50*$G$54:$G$73*$P$31^ABS(A44-$A$31:$A$50))</f>
        <v>0.44892408822126517</v>
      </c>
      <c r="I67" s="43">
        <f t="shared" ca="1" si="22"/>
        <v>846.66496584399931</v>
      </c>
      <c r="J67" s="43">
        <f t="shared" ca="1" si="23"/>
        <v>11461.026245843999</v>
      </c>
      <c r="K67" s="14">
        <f t="shared" ca="1" si="24"/>
        <v>0.76017731198628202</v>
      </c>
      <c r="L67" s="43">
        <f t="shared" ca="1" si="25"/>
        <v>-280.75546151495109</v>
      </c>
      <c r="M67" s="43">
        <f t="shared" ca="1" si="26"/>
        <v>951.18518016675375</v>
      </c>
      <c r="N67" s="43">
        <f t="shared" ca="1" si="27"/>
        <v>-104.52021432275444</v>
      </c>
      <c r="O67" s="43">
        <f t="shared" ca="1" si="28"/>
        <v>-280.75546151495109</v>
      </c>
    </row>
    <row r="68" spans="2:15" x14ac:dyDescent="0.25">
      <c r="B68" s="12" t="str">
        <f t="shared" si="19"/>
        <v>201309</v>
      </c>
      <c r="C68" s="34">
        <f t="shared" ca="1" si="20"/>
        <v>41.957397791915206</v>
      </c>
      <c r="D68" s="34">
        <f ca="1">cas_lower!D42-cas_lower!C42</f>
        <v>127.01966600000014</v>
      </c>
      <c r="E68" s="34">
        <f t="shared" ca="1" si="21"/>
        <v>85.06226820808493</v>
      </c>
      <c r="F68" s="34">
        <f ca="1">cas_lower!D42</f>
        <v>4882.154192</v>
      </c>
      <c r="G68" s="14">
        <f t="shared" ca="1" si="29"/>
        <v>0.86127739440042028</v>
      </c>
      <c r="H68" s="42">
        <f t="array" aca="1" ref="H68" ca="1">SUM($F$54:$F$73*$P$31^ABS(A45-$A$31:$A$50))/SUM($C$31:$C$50*$G$54:$G$73*$P$31^ABS(A45-$A$31:$A$50))</f>
        <v>0.43972320410566862</v>
      </c>
      <c r="I68" s="43">
        <f t="shared" ca="1" si="22"/>
        <v>1147.0648041610323</v>
      </c>
      <c r="J68" s="43">
        <f t="shared" ca="1" si="23"/>
        <v>6029.218996161032</v>
      </c>
      <c r="K68" s="14">
        <f t="shared" ca="1" si="24"/>
        <v>0.32062673001517117</v>
      </c>
      <c r="L68" s="43">
        <f t="shared" ca="1" si="25"/>
        <v>77.853061250294559</v>
      </c>
      <c r="M68" s="43">
        <f t="shared" ca="1" si="26"/>
        <v>1309.9801336194116</v>
      </c>
      <c r="N68" s="43">
        <f t="shared" ca="1" si="27"/>
        <v>-162.91532945837935</v>
      </c>
      <c r="O68" s="43">
        <f t="shared" ca="1" si="28"/>
        <v>77.853061250294417</v>
      </c>
    </row>
    <row r="69" spans="2:15" x14ac:dyDescent="0.25">
      <c r="B69" s="12" t="str">
        <f t="shared" si="19"/>
        <v>201312</v>
      </c>
      <c r="C69" s="34">
        <f t="shared" ca="1" si="20"/>
        <v>188.77276971029767</v>
      </c>
      <c r="D69" s="34">
        <f ca="1">cas_lower!D43-cas_lower!C43</f>
        <v>-62.568172000000231</v>
      </c>
      <c r="E69" s="34">
        <f t="shared" ca="1" si="21"/>
        <v>-251.3409417102979</v>
      </c>
      <c r="F69" s="34">
        <f ca="1">cas_lower!D43</f>
        <v>7356.6312049999997</v>
      </c>
      <c r="G69" s="14">
        <f t="shared" ca="1" si="29"/>
        <v>0.85683424339644976</v>
      </c>
      <c r="H69" s="42">
        <f t="array" aca="1" ref="H69" ca="1">SUM($F$54:$F$73*$P$31^ABS(A46-$A$31:$A$50))/SUM($C$31:$C$50*$G$54:$G$73*$P$31^ABS(A46-$A$31:$A$50))</f>
        <v>0.43933331163825357</v>
      </c>
      <c r="I69" s="43">
        <f t="shared" ca="1" si="22"/>
        <v>1127.7487910008808</v>
      </c>
      <c r="J69" s="43">
        <f t="shared" ca="1" si="23"/>
        <v>8484.3799960008801</v>
      </c>
      <c r="K69" s="14">
        <f t="shared" ca="1" si="24"/>
        <v>0.47319595990851554</v>
      </c>
      <c r="L69" s="43">
        <f t="shared" ca="1" si="25"/>
        <v>406.28192921473965</v>
      </c>
      <c r="M69" s="43">
        <f t="shared" ca="1" si="26"/>
        <v>1282.6897785053231</v>
      </c>
      <c r="N69" s="43">
        <f t="shared" ca="1" si="27"/>
        <v>-154.94098750444232</v>
      </c>
      <c r="O69" s="43">
        <f t="shared" ca="1" si="28"/>
        <v>406.28192921474022</v>
      </c>
    </row>
    <row r="70" spans="2:15" x14ac:dyDescent="0.25">
      <c r="B70" s="12" t="str">
        <f t="shared" si="19"/>
        <v>201403</v>
      </c>
      <c r="C70" s="34">
        <f t="shared" ca="1" si="20"/>
        <v>317.46277205712221</v>
      </c>
      <c r="D70" s="34">
        <f ca="1">cas_lower!D44-cas_lower!C44</f>
        <v>1046.2439900000004</v>
      </c>
      <c r="E70" s="34">
        <f t="shared" ca="1" si="21"/>
        <v>728.78121794287813</v>
      </c>
      <c r="F70" s="34">
        <f ca="1">cas_lower!D44</f>
        <v>5070.7771160000002</v>
      </c>
      <c r="G70" s="14">
        <f t="shared" ca="1" si="29"/>
        <v>0.83576461545163616</v>
      </c>
      <c r="H70" s="42">
        <f t="array" aca="1" ref="H70" ca="1">SUM($F$54:$F$73*$P$31^ABS(A47-$A$31:$A$50))/SUM($C$31:$C$50*$G$54:$G$73*$P$31^ABS(A47-$A$31:$A$50))</f>
        <v>0.4362640503439929</v>
      </c>
      <c r="I70" s="43">
        <f t="shared" ca="1" si="22"/>
        <v>1348.7903742535414</v>
      </c>
      <c r="J70" s="43">
        <f t="shared" ca="1" si="23"/>
        <v>6419.5674902535411</v>
      </c>
      <c r="K70" s="14">
        <f t="shared" ca="1" si="24"/>
        <v>0.34101813106549395</v>
      </c>
      <c r="L70" s="43">
        <f t="shared" ca="1" si="25"/>
        <v>-540.01540888043746</v>
      </c>
      <c r="M70" s="43">
        <f t="shared" ca="1" si="26"/>
        <v>1537.5561833159818</v>
      </c>
      <c r="N70" s="43">
        <f t="shared" ca="1" si="27"/>
        <v>-188.76580906244044</v>
      </c>
      <c r="O70" s="43">
        <f t="shared" ca="1" si="28"/>
        <v>-540.01540888043769</v>
      </c>
    </row>
    <row r="71" spans="2:15" x14ac:dyDescent="0.25">
      <c r="B71" s="12" t="str">
        <f t="shared" si="19"/>
        <v>201406</v>
      </c>
      <c r="C71" s="34">
        <f t="shared" ca="1" si="20"/>
        <v>438.98739974271501</v>
      </c>
      <c r="D71" s="34">
        <f ca="1">cas_lower!D45-cas_lower!C45</f>
        <v>1878.5796980000005</v>
      </c>
      <c r="E71" s="34">
        <f t="shared" ca="1" si="21"/>
        <v>1439.5922982572854</v>
      </c>
      <c r="F71" s="34">
        <f ca="1">cas_lower!D45</f>
        <v>10026.346020000001</v>
      </c>
      <c r="G71" s="14">
        <f t="shared" ca="1" si="29"/>
        <v>0.80185455674006056</v>
      </c>
      <c r="H71" s="42">
        <f t="array" aca="1" ref="H71" ca="1">SUM($F$54:$F$73*$P$31^ABS(A48-$A$31:$A$50))/SUM($C$31:$C$50*$G$54:$G$73*$P$31^ABS(A48-$A$31:$A$50))</f>
        <v>0.44119308521752215</v>
      </c>
      <c r="I71" s="43">
        <f t="shared" ca="1" si="22"/>
        <v>1764.2608213903004</v>
      </c>
      <c r="J71" s="43">
        <f t="shared" ca="1" si="23"/>
        <v>11790.606841390301</v>
      </c>
      <c r="K71" s="14">
        <f t="shared" ca="1" si="24"/>
        <v>0.58423309475702223</v>
      </c>
      <c r="L71" s="43">
        <f t="shared" ca="1" si="25"/>
        <v>-1226.2444496266962</v>
      </c>
      <c r="M71" s="43">
        <f t="shared" ca="1" si="26"/>
        <v>1977.6086700208903</v>
      </c>
      <c r="N71" s="43">
        <f t="shared" ca="1" si="27"/>
        <v>-213.34784863058985</v>
      </c>
      <c r="O71" s="43">
        <f t="shared" ca="1" si="28"/>
        <v>-1226.2444496266955</v>
      </c>
    </row>
    <row r="72" spans="2:15" x14ac:dyDescent="0.25">
      <c r="B72" s="12" t="str">
        <f t="shared" si="19"/>
        <v>201409</v>
      </c>
      <c r="C72" s="34">
        <f t="shared" ca="1" si="20"/>
        <v>1783.9212968484294</v>
      </c>
      <c r="D72" s="34">
        <f ca="1">cas_lower!D46-cas_lower!C46</f>
        <v>1371.3729469999998</v>
      </c>
      <c r="E72" s="34">
        <f t="shared" ca="1" si="21"/>
        <v>-412.54834984842955</v>
      </c>
      <c r="F72" s="34">
        <f ca="1">cas_lower!D46</f>
        <v>6178.1244710000001</v>
      </c>
      <c r="G72" s="14">
        <f t="shared" ca="1" si="29"/>
        <v>0.75787044895061118</v>
      </c>
      <c r="H72" s="42">
        <f t="array" aca="1" ref="H72" ca="1">SUM($F$54:$F$73*$P$31^ABS(A49-$A$31:$A$50))/SUM($C$31:$C$50*$G$54:$G$73*$P$31^ABS(A49-$A$31:$A$50))</f>
        <v>0.43207007662325853</v>
      </c>
      <c r="I72" s="43">
        <f t="shared" ca="1" si="22"/>
        <v>2185.5900444169279</v>
      </c>
      <c r="J72" s="43">
        <f t="shared" ca="1" si="23"/>
        <v>8363.7145154169284</v>
      </c>
      <c r="K72" s="14">
        <f t="shared" ca="1" si="24"/>
        <v>0.40034322491921465</v>
      </c>
      <c r="L72" s="43">
        <f t="shared" ca="1" si="25"/>
        <v>685.70802495079442</v>
      </c>
      <c r="M72" s="43">
        <f t="shared" ca="1" si="26"/>
        <v>2458.7497195192936</v>
      </c>
      <c r="N72" s="43">
        <f t="shared" ca="1" si="27"/>
        <v>-273.15967510236578</v>
      </c>
      <c r="O72" s="43">
        <f t="shared" ca="1" si="28"/>
        <v>685.70802495079533</v>
      </c>
    </row>
    <row r="73" spans="2:15" ht="15.75" thickBot="1" x14ac:dyDescent="0.3">
      <c r="B73" s="20" t="str">
        <f>B50</f>
        <v>201412</v>
      </c>
      <c r="C73" s="33">
        <f ca="1">C50*I50*(E49-E50)</f>
        <v>3009.289234349757</v>
      </c>
      <c r="D73" s="34">
        <f ca="1">cas_lower!D47-cas_lower!C47</f>
        <v>2464.6070069999996</v>
      </c>
      <c r="E73" s="33">
        <f t="shared" ca="1" si="21"/>
        <v>-544.68222734975734</v>
      </c>
      <c r="F73" s="34">
        <f ca="1">cas_lower!D47</f>
        <v>4341.6172729999998</v>
      </c>
      <c r="G73" s="22">
        <f t="shared" ca="1" si="29"/>
        <v>0.5821957719860108</v>
      </c>
      <c r="H73" s="44">
        <f t="array" aca="1" ref="H73" ca="1">SUM($F$54:$F$73*$P$31^ABS(A50-$A$31:$A$50))/SUM($C$31:$C$50*$G$54:$G$73*$P$31^ABS(A50-$A$31:$A$50))</f>
        <v>0.42426985786087451</v>
      </c>
      <c r="I73" s="45">
        <f t="shared" ca="1" si="22"/>
        <v>4192.9474710410905</v>
      </c>
      <c r="J73" s="45">
        <f t="shared" ca="1" si="23"/>
        <v>8534.5647440410903</v>
      </c>
      <c r="K73" s="22">
        <f t="shared" ca="1" si="24"/>
        <v>0.36080866999095529</v>
      </c>
      <c r="L73" s="45">
        <f t="shared" ca="1" si="25"/>
        <v>1155.4477593033789</v>
      </c>
      <c r="M73" s="43">
        <f t="shared" ca="1" si="26"/>
        <v>4803.7130029947111</v>
      </c>
      <c r="N73" s="43">
        <f t="shared" ca="1" si="27"/>
        <v>-610.76553195362067</v>
      </c>
      <c r="O73" s="43">
        <f t="shared" ca="1" si="28"/>
        <v>1155.447759303378</v>
      </c>
    </row>
    <row r="74" spans="2:15" ht="15.75" thickBot="1" x14ac:dyDescent="0.3">
      <c r="B74" s="27" t="s">
        <v>42</v>
      </c>
      <c r="C74" s="28">
        <f ca="1">SUM(C54:C73)</f>
        <v>6759.4436725887917</v>
      </c>
      <c r="D74" s="28">
        <f t="shared" ref="D74:F74" ca="1" si="31">SUM(D54:D73)</f>
        <v>9758.0887619999994</v>
      </c>
      <c r="E74" s="28">
        <f t="shared" ca="1" si="31"/>
        <v>2998.6450894112072</v>
      </c>
      <c r="F74" s="28">
        <f t="shared" ca="1" si="31"/>
        <v>135002.58315800002</v>
      </c>
      <c r="G74" s="28"/>
      <c r="H74" s="28"/>
      <c r="I74" s="28">
        <f t="shared" ref="I74:J74" ca="1" si="32">SUM(I54:I73)</f>
        <v>15027.611876293739</v>
      </c>
      <c r="J74" s="28">
        <f t="shared" ca="1" si="32"/>
        <v>150030.19503429372</v>
      </c>
      <c r="K74" s="47">
        <f ca="1">J74/C51</f>
        <v>0.3996928031505293</v>
      </c>
      <c r="L74" s="46">
        <f t="shared" ref="L74" ca="1" si="33">SUM(L54:L73)</f>
        <v>-1044.6892982632558</v>
      </c>
      <c r="M74" s="46">
        <f ca="1">SUM(M54:M73)</f>
        <v>16981.56766744169</v>
      </c>
      <c r="N74" s="46">
        <f ca="1">SUM(N54:N73)</f>
        <v>-1953.9557911479524</v>
      </c>
      <c r="O74" s="46">
        <f ca="1">SUM(O54:O73)</f>
        <v>-1044.6892982632548</v>
      </c>
    </row>
    <row r="76" spans="2:15" x14ac:dyDescent="0.25">
      <c r="G76" t="s">
        <v>56</v>
      </c>
      <c r="H76">
        <f t="array" aca="1" ref="H76" ca="1">SUM((I31:I50-H54:H73)^2)</f>
        <v>5.0329522220572631E-2</v>
      </c>
    </row>
  </sheetData>
  <conditionalFormatting sqref="T39:T5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9:U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9:AP5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469FD-7C16-40AF-A808-A4D361EA5D38}">
  <sheetPr codeName="Sheet10"/>
  <dimension ref="A1:AQ76"/>
  <sheetViews>
    <sheetView topLeftCell="A30" zoomScale="85" zoomScaleNormal="85" workbookViewId="0">
      <selection activeCell="M47" sqref="M47"/>
    </sheetView>
  </sheetViews>
  <sheetFormatPr defaultRowHeight="15" x14ac:dyDescent="0.25"/>
  <cols>
    <col min="1" max="1" width="12.28515625" bestFit="1" customWidth="1"/>
    <col min="2" max="2" width="15.28515625" bestFit="1" customWidth="1"/>
    <col min="3" max="3" width="17.5703125" bestFit="1" customWidth="1"/>
    <col min="4" max="4" width="9" bestFit="1" customWidth="1"/>
    <col min="5" max="5" width="10" bestFit="1" customWidth="1"/>
    <col min="6" max="6" width="12.85546875" bestFit="1" customWidth="1"/>
    <col min="7" max="7" width="10.42578125" bestFit="1" customWidth="1"/>
    <col min="8" max="8" width="15.140625" bestFit="1" customWidth="1"/>
    <col min="9" max="9" width="15.85546875" bestFit="1" customWidth="1"/>
    <col min="10" max="10" width="14.28515625" bestFit="1" customWidth="1"/>
    <col min="11" max="11" width="13.5703125" bestFit="1" customWidth="1"/>
    <col min="12" max="12" width="8.85546875" bestFit="1" customWidth="1"/>
    <col min="13" max="13" width="15.7109375" bestFit="1" customWidth="1"/>
    <col min="14" max="14" width="12.42578125" bestFit="1" customWidth="1"/>
    <col min="15" max="15" width="12.140625" bestFit="1" customWidth="1"/>
    <col min="16" max="19" width="8" bestFit="1" customWidth="1"/>
    <col min="20" max="21" width="7" bestFit="1" customWidth="1"/>
    <col min="22" max="41" width="7.140625" bestFit="1" customWidth="1"/>
    <col min="42" max="42" width="9.5703125" bestFit="1" customWidth="1"/>
  </cols>
  <sheetData>
    <row r="1" spans="1:42" x14ac:dyDescent="0.25">
      <c r="A1" t="s">
        <v>27</v>
      </c>
      <c r="B1" t="s">
        <v>2</v>
      </c>
      <c r="W1" s="55"/>
      <c r="X1" s="55" t="s">
        <v>2</v>
      </c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</row>
    <row r="2" spans="1:42" x14ac:dyDescent="0.25">
      <c r="A2" t="s">
        <v>6</v>
      </c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W2" s="54" t="s">
        <v>6</v>
      </c>
      <c r="X2" s="54">
        <v>1</v>
      </c>
      <c r="Y2" s="54">
        <v>2</v>
      </c>
      <c r="Z2" s="54">
        <v>3</v>
      </c>
      <c r="AA2" s="54">
        <v>4</v>
      </c>
      <c r="AB2" s="54">
        <v>5</v>
      </c>
      <c r="AC2" s="54">
        <v>6</v>
      </c>
      <c r="AD2" s="54">
        <v>7</v>
      </c>
      <c r="AE2" s="54">
        <v>8</v>
      </c>
      <c r="AF2" s="54">
        <v>9</v>
      </c>
      <c r="AG2" s="54">
        <v>10</v>
      </c>
      <c r="AH2" s="54">
        <v>11</v>
      </c>
      <c r="AI2" s="54">
        <v>12</v>
      </c>
      <c r="AJ2" s="54">
        <v>13</v>
      </c>
      <c r="AK2" s="54">
        <v>14</v>
      </c>
      <c r="AL2" s="54">
        <v>15</v>
      </c>
      <c r="AM2" s="54">
        <v>16</v>
      </c>
      <c r="AN2" s="54">
        <v>17</v>
      </c>
      <c r="AO2" s="54">
        <v>18</v>
      </c>
      <c r="AP2" s="54">
        <v>19</v>
      </c>
    </row>
    <row r="3" spans="1:42" x14ac:dyDescent="0.25">
      <c r="A3" t="s">
        <v>7</v>
      </c>
      <c r="B3" s="3">
        <v>2013.946441</v>
      </c>
      <c r="C3" s="3">
        <v>3924.7983920000001</v>
      </c>
      <c r="D3" s="3">
        <v>6027.3191349999997</v>
      </c>
      <c r="E3" s="3">
        <v>6476.8752830000003</v>
      </c>
      <c r="F3" s="3">
        <v>5624.0787790000004</v>
      </c>
      <c r="G3" s="3">
        <v>5159.3165429999999</v>
      </c>
      <c r="H3" s="3">
        <v>5213.8515289999996</v>
      </c>
      <c r="I3" s="3">
        <v>6240.6926430000003</v>
      </c>
      <c r="J3" s="3">
        <v>6705.3502500000004</v>
      </c>
      <c r="K3" s="3">
        <v>6716.243297</v>
      </c>
      <c r="L3" s="3">
        <v>7373.2672240000002</v>
      </c>
      <c r="M3" s="3">
        <v>7695.7455790000004</v>
      </c>
      <c r="N3" s="3">
        <v>9011.2466139999997</v>
      </c>
      <c r="O3" s="3">
        <v>9229.5028110000003</v>
      </c>
      <c r="P3" s="3">
        <v>8408.5135379999992</v>
      </c>
      <c r="Q3" s="3">
        <v>8448.1795739999998</v>
      </c>
      <c r="R3" s="3">
        <v>8824.2163760000003</v>
      </c>
      <c r="S3" s="3">
        <v>9202.4968910000007</v>
      </c>
      <c r="T3" s="3">
        <v>9388.4575879999993</v>
      </c>
      <c r="U3" s="3">
        <v>9349.6867120000006</v>
      </c>
      <c r="W3" t="s">
        <v>7</v>
      </c>
      <c r="X3" s="58">
        <f>IFERROR(C3/B3,"")</f>
        <v>1.9488097161368354</v>
      </c>
      <c r="Y3" s="58">
        <f t="shared" ref="Y3:AN20" si="0">IFERROR(D3/C3,"")</f>
        <v>1.5357015910130856</v>
      </c>
      <c r="Z3" s="58">
        <f t="shared" si="0"/>
        <v>1.0745864185935461</v>
      </c>
      <c r="AA3" s="58">
        <f t="shared" si="0"/>
        <v>0.86833210973841757</v>
      </c>
      <c r="AB3" s="58">
        <f t="shared" si="0"/>
        <v>0.91736206865817793</v>
      </c>
      <c r="AC3" s="58">
        <f t="shared" si="0"/>
        <v>1.0105701957895936</v>
      </c>
      <c r="AD3" s="58">
        <f t="shared" si="0"/>
        <v>1.1969448321051339</v>
      </c>
      <c r="AE3" s="58">
        <f t="shared" si="0"/>
        <v>1.0744560954337645</v>
      </c>
      <c r="AF3" s="58">
        <f t="shared" si="0"/>
        <v>1.0016245306499836</v>
      </c>
      <c r="AG3" s="58">
        <f t="shared" si="0"/>
        <v>1.0978261057477592</v>
      </c>
      <c r="AH3" s="58">
        <f t="shared" si="0"/>
        <v>1.0437361545707082</v>
      </c>
      <c r="AI3" s="58">
        <f t="shared" si="0"/>
        <v>1.1709387377084961</v>
      </c>
      <c r="AJ3" s="58">
        <f t="shared" si="0"/>
        <v>1.0242204221401414</v>
      </c>
      <c r="AK3" s="58">
        <f t="shared" si="0"/>
        <v>0.91104729151590691</v>
      </c>
      <c r="AL3" s="58">
        <f t="shared" si="0"/>
        <v>1.0047173660149016</v>
      </c>
      <c r="AM3" s="58">
        <f t="shared" si="0"/>
        <v>1.0445109859119575</v>
      </c>
      <c r="AN3" s="58">
        <f t="shared" si="0"/>
        <v>1.0428684541359212</v>
      </c>
      <c r="AO3" s="58">
        <f t="shared" ref="AO3:AP21" si="1">IFERROR(T3/S3,"")</f>
        <v>1.0202076348628673</v>
      </c>
      <c r="AP3" s="58">
        <f t="shared" si="1"/>
        <v>0.99587036788134886</v>
      </c>
    </row>
    <row r="4" spans="1:42" x14ac:dyDescent="0.25">
      <c r="A4" t="s">
        <v>8</v>
      </c>
      <c r="B4" s="3">
        <v>2531.2208340000002</v>
      </c>
      <c r="C4" s="3">
        <v>4102.4120149999999</v>
      </c>
      <c r="D4" s="3">
        <v>3674.7000880000001</v>
      </c>
      <c r="E4" s="3">
        <v>3868.1824499999998</v>
      </c>
      <c r="F4" s="3">
        <v>4796.172364</v>
      </c>
      <c r="G4" s="3">
        <v>6866.3511060000001</v>
      </c>
      <c r="H4" s="3">
        <v>6072.0771169999998</v>
      </c>
      <c r="I4" s="3">
        <v>6013.9847440000003</v>
      </c>
      <c r="J4" s="3">
        <v>5986.4556789999997</v>
      </c>
      <c r="K4" s="3">
        <v>5787.8813689999997</v>
      </c>
      <c r="L4" s="3">
        <v>5951.2073149999997</v>
      </c>
      <c r="M4" s="3">
        <v>5957.5664360000001</v>
      </c>
      <c r="N4" s="3">
        <v>6047.884556</v>
      </c>
      <c r="O4" s="3">
        <v>6064.7414580000004</v>
      </c>
      <c r="P4" s="3">
        <v>5876.6184279999998</v>
      </c>
      <c r="Q4" s="3">
        <v>5969.3546420000002</v>
      </c>
      <c r="R4" s="3">
        <v>5986.5370569999995</v>
      </c>
      <c r="S4" s="3">
        <v>5997.3836019999999</v>
      </c>
      <c r="T4" s="3">
        <v>5766.6765480000004</v>
      </c>
      <c r="U4" s="3"/>
      <c r="W4" t="s">
        <v>8</v>
      </c>
      <c r="X4" s="58">
        <f t="shared" ref="X4:Y21" si="2">IFERROR(C4/B4,"")</f>
        <v>1.6207246558243205</v>
      </c>
      <c r="Y4" s="58">
        <f t="shared" si="0"/>
        <v>0.8957413527856003</v>
      </c>
      <c r="Z4" s="58">
        <f t="shared" si="0"/>
        <v>1.0526525586759665</v>
      </c>
      <c r="AA4" s="58">
        <f t="shared" si="0"/>
        <v>1.2399033463377613</v>
      </c>
      <c r="AB4" s="58">
        <f t="shared" si="0"/>
        <v>1.4316314312510392</v>
      </c>
      <c r="AC4" s="58">
        <f t="shared" si="0"/>
        <v>0.88432371477392957</v>
      </c>
      <c r="AD4" s="58">
        <f t="shared" si="0"/>
        <v>0.99043286640129158</v>
      </c>
      <c r="AE4" s="58">
        <f t="shared" si="0"/>
        <v>0.99542249171359043</v>
      </c>
      <c r="AF4" s="58">
        <f t="shared" si="0"/>
        <v>0.96682940279728746</v>
      </c>
      <c r="AG4" s="58">
        <f t="shared" si="0"/>
        <v>1.0282186063582397</v>
      </c>
      <c r="AH4" s="58">
        <f t="shared" si="0"/>
        <v>1.0010685430137802</v>
      </c>
      <c r="AI4" s="58">
        <f t="shared" si="0"/>
        <v>1.0151602371488855</v>
      </c>
      <c r="AJ4" s="58">
        <f t="shared" si="0"/>
        <v>1.0027872393799708</v>
      </c>
      <c r="AK4" s="58">
        <f t="shared" si="0"/>
        <v>0.96898086566380381</v>
      </c>
      <c r="AL4" s="58">
        <f t="shared" si="0"/>
        <v>1.0157805403117794</v>
      </c>
      <c r="AM4" s="58">
        <f t="shared" si="0"/>
        <v>1.0028784376252509</v>
      </c>
      <c r="AN4" s="58">
        <f t="shared" si="0"/>
        <v>1.0018118229114306</v>
      </c>
      <c r="AO4" s="58">
        <f t="shared" si="1"/>
        <v>0.96153204975531936</v>
      </c>
      <c r="AP4" s="58"/>
    </row>
    <row r="5" spans="1:42" x14ac:dyDescent="0.25">
      <c r="A5" t="s">
        <v>9</v>
      </c>
      <c r="B5" s="3">
        <v>2373.0565879999999</v>
      </c>
      <c r="C5" s="3">
        <v>4426.3900530000001</v>
      </c>
      <c r="D5" s="3">
        <v>7274.1486379999997</v>
      </c>
      <c r="E5" s="3">
        <v>6513.6233300000004</v>
      </c>
      <c r="F5" s="3">
        <v>6699.1306350000004</v>
      </c>
      <c r="G5" s="3">
        <v>7062.8677109999999</v>
      </c>
      <c r="H5" s="3">
        <v>7602.8931110000003</v>
      </c>
      <c r="I5" s="3">
        <v>7727.2970500000001</v>
      </c>
      <c r="J5" s="3">
        <v>7130.4929529999999</v>
      </c>
      <c r="K5" s="3">
        <v>7655.4982710000004</v>
      </c>
      <c r="L5" s="3">
        <v>7948.7967470000003</v>
      </c>
      <c r="M5" s="3">
        <v>8586.5689289999991</v>
      </c>
      <c r="N5" s="3">
        <v>9113.0506789999999</v>
      </c>
      <c r="O5" s="3">
        <v>7730.2964160000001</v>
      </c>
      <c r="P5" s="3">
        <v>7925.092455</v>
      </c>
      <c r="Q5" s="3">
        <v>8275.5765190000002</v>
      </c>
      <c r="R5" s="3">
        <v>8179.6316809999998</v>
      </c>
      <c r="S5" s="3">
        <v>7820.8819219999996</v>
      </c>
      <c r="T5" s="3"/>
      <c r="U5" s="3"/>
      <c r="W5" t="s">
        <v>9</v>
      </c>
      <c r="X5" s="58">
        <f t="shared" si="2"/>
        <v>1.8652694905731426</v>
      </c>
      <c r="Y5" s="58">
        <f t="shared" si="0"/>
        <v>1.643359159699431</v>
      </c>
      <c r="Z5" s="58">
        <f t="shared" si="0"/>
        <v>0.89544820351524979</v>
      </c>
      <c r="AA5" s="58">
        <f t="shared" si="0"/>
        <v>1.0284798944614442</v>
      </c>
      <c r="AB5" s="58">
        <f t="shared" si="0"/>
        <v>1.0542961610719508</v>
      </c>
      <c r="AC5" s="58">
        <f t="shared" si="0"/>
        <v>1.0764597925512527</v>
      </c>
      <c r="AD5" s="58">
        <f t="shared" si="0"/>
        <v>1.0163627105081894</v>
      </c>
      <c r="AE5" s="58">
        <f t="shared" si="0"/>
        <v>0.92276677172647326</v>
      </c>
      <c r="AF5" s="58">
        <f t="shared" si="0"/>
        <v>1.0736281939356123</v>
      </c>
      <c r="AG5" s="58">
        <f t="shared" si="0"/>
        <v>1.0383121340528614</v>
      </c>
      <c r="AH5" s="58">
        <f t="shared" si="0"/>
        <v>1.0802350597580324</v>
      </c>
      <c r="AI5" s="58">
        <f t="shared" si="0"/>
        <v>1.0613145663131962</v>
      </c>
      <c r="AJ5" s="58">
        <f t="shared" si="0"/>
        <v>0.84826658912515418</v>
      </c>
      <c r="AK5" s="58">
        <f t="shared" si="0"/>
        <v>1.0251990387583088</v>
      </c>
      <c r="AL5" s="58">
        <f t="shared" si="0"/>
        <v>1.0442246025507094</v>
      </c>
      <c r="AM5" s="58">
        <f t="shared" si="0"/>
        <v>0.98840626537864529</v>
      </c>
      <c r="AN5" s="58">
        <f t="shared" si="0"/>
        <v>0.95614108642161488</v>
      </c>
      <c r="AO5" s="58"/>
      <c r="AP5" s="58" t="str">
        <f t="shared" si="1"/>
        <v/>
      </c>
    </row>
    <row r="6" spans="1:42" x14ac:dyDescent="0.25">
      <c r="A6" t="s">
        <v>10</v>
      </c>
      <c r="B6" s="3">
        <v>3664.5859460000001</v>
      </c>
      <c r="C6" s="3">
        <v>6028.3305490000002</v>
      </c>
      <c r="D6" s="3">
        <v>5679.3345429999999</v>
      </c>
      <c r="E6" s="3">
        <v>5792.7756829999998</v>
      </c>
      <c r="F6" s="3">
        <v>5157.6657290000003</v>
      </c>
      <c r="G6" s="3">
        <v>5202.5864680000004</v>
      </c>
      <c r="H6" s="3">
        <v>4824.1083200000003</v>
      </c>
      <c r="I6" s="3">
        <v>4749.066041</v>
      </c>
      <c r="J6" s="3">
        <v>5152.469153</v>
      </c>
      <c r="K6" s="3">
        <v>5240.3924310000002</v>
      </c>
      <c r="L6" s="3">
        <v>5260.8299720000005</v>
      </c>
      <c r="M6" s="3">
        <v>5360.6228339999998</v>
      </c>
      <c r="N6" s="3">
        <v>5261.9111380000004</v>
      </c>
      <c r="O6" s="3">
        <v>5605.5826889999998</v>
      </c>
      <c r="P6" s="3">
        <v>5472.9246800000001</v>
      </c>
      <c r="Q6" s="3">
        <v>5358.541878</v>
      </c>
      <c r="R6" s="3">
        <v>6050.6862890000002</v>
      </c>
      <c r="S6" s="3"/>
      <c r="T6" s="3"/>
      <c r="U6" s="3"/>
      <c r="W6" t="s">
        <v>10</v>
      </c>
      <c r="X6" s="58">
        <f t="shared" si="2"/>
        <v>1.6450236501016151</v>
      </c>
      <c r="Y6" s="58">
        <f t="shared" si="0"/>
        <v>0.94210735407369239</v>
      </c>
      <c r="Z6" s="58">
        <f t="shared" si="0"/>
        <v>1.0199743718460503</v>
      </c>
      <c r="AA6" s="58">
        <f t="shared" si="0"/>
        <v>0.89036172143453607</v>
      </c>
      <c r="AB6" s="58">
        <f t="shared" si="0"/>
        <v>1.0087095095650391</v>
      </c>
      <c r="AC6" s="58">
        <f t="shared" si="0"/>
        <v>0.92725192549361002</v>
      </c>
      <c r="AD6" s="58">
        <f t="shared" si="0"/>
        <v>0.98444432130827442</v>
      </c>
      <c r="AE6" s="58">
        <f t="shared" si="0"/>
        <v>1.0849436728226791</v>
      </c>
      <c r="AF6" s="58">
        <f t="shared" si="0"/>
        <v>1.017064299734586</v>
      </c>
      <c r="AG6" s="58">
        <f t="shared" si="0"/>
        <v>1.0039000020073114</v>
      </c>
      <c r="AH6" s="58">
        <f t="shared" si="0"/>
        <v>1.0189690338846022</v>
      </c>
      <c r="AI6" s="58">
        <f t="shared" si="0"/>
        <v>0.98158577854537432</v>
      </c>
      <c r="AJ6" s="58">
        <f t="shared" si="0"/>
        <v>1.0653130662960275</v>
      </c>
      <c r="AK6" s="58">
        <f t="shared" si="0"/>
        <v>0.97633466200394858</v>
      </c>
      <c r="AL6" s="58">
        <f t="shared" si="0"/>
        <v>0.97910024188383316</v>
      </c>
      <c r="AM6" s="58">
        <f t="shared" si="0"/>
        <v>1.1291665581343433</v>
      </c>
      <c r="AN6" s="58"/>
      <c r="AO6" s="58" t="str">
        <f t="shared" si="1"/>
        <v/>
      </c>
      <c r="AP6" s="58" t="str">
        <f t="shared" si="1"/>
        <v/>
      </c>
    </row>
    <row r="7" spans="1:42" x14ac:dyDescent="0.25">
      <c r="A7" t="s">
        <v>11</v>
      </c>
      <c r="B7" s="3">
        <v>3685.2443709999998</v>
      </c>
      <c r="C7" s="3">
        <v>6009.2299350000003</v>
      </c>
      <c r="D7" s="3">
        <v>6655.2096849999998</v>
      </c>
      <c r="E7" s="3">
        <v>5535.0627100000002</v>
      </c>
      <c r="F7" s="3">
        <v>6291.728368</v>
      </c>
      <c r="G7" s="3">
        <v>6971.8869400000003</v>
      </c>
      <c r="H7" s="3">
        <v>6792.6806299999998</v>
      </c>
      <c r="I7" s="3">
        <v>6362.0158380000003</v>
      </c>
      <c r="J7" s="3">
        <v>6510.1240699999998</v>
      </c>
      <c r="K7" s="3">
        <v>6456.6586260000004</v>
      </c>
      <c r="L7" s="3">
        <v>6734.0302350000002</v>
      </c>
      <c r="M7" s="3">
        <v>6836.1481869999998</v>
      </c>
      <c r="N7" s="3">
        <v>7816.8827670000001</v>
      </c>
      <c r="O7" s="3">
        <v>8117.4936509999998</v>
      </c>
      <c r="P7" s="3">
        <v>8601.7168899999997</v>
      </c>
      <c r="Q7" s="3">
        <v>8508.0506409999998</v>
      </c>
      <c r="R7" s="3"/>
      <c r="S7" s="3"/>
      <c r="T7" s="3"/>
      <c r="U7" s="3"/>
      <c r="W7" t="s">
        <v>11</v>
      </c>
      <c r="X7" s="58">
        <f t="shared" si="2"/>
        <v>1.630619120481658</v>
      </c>
      <c r="Y7" s="58">
        <f t="shared" si="0"/>
        <v>1.107497925189644</v>
      </c>
      <c r="Z7" s="58">
        <f t="shared" si="0"/>
        <v>0.83168870283310992</v>
      </c>
      <c r="AA7" s="58">
        <f t="shared" si="0"/>
        <v>1.1367040804493433</v>
      </c>
      <c r="AB7" s="58">
        <f t="shared" si="0"/>
        <v>1.1081036135411242</v>
      </c>
      <c r="AC7" s="58">
        <f t="shared" si="0"/>
        <v>0.97429586688048031</v>
      </c>
      <c r="AD7" s="58">
        <f t="shared" si="0"/>
        <v>0.93659869859066236</v>
      </c>
      <c r="AE7" s="58">
        <f t="shared" si="0"/>
        <v>1.0232800791087875</v>
      </c>
      <c r="AF7" s="58">
        <f t="shared" si="0"/>
        <v>0.99178733870121161</v>
      </c>
      <c r="AG7" s="58">
        <f t="shared" si="0"/>
        <v>1.0429590017169355</v>
      </c>
      <c r="AH7" s="58">
        <f t="shared" si="0"/>
        <v>1.0151644629495786</v>
      </c>
      <c r="AI7" s="58">
        <f t="shared" si="0"/>
        <v>1.1434630369577155</v>
      </c>
      <c r="AJ7" s="58">
        <f t="shared" si="0"/>
        <v>1.038456619212593</v>
      </c>
      <c r="AK7" s="58">
        <f t="shared" si="0"/>
        <v>1.0596518161662312</v>
      </c>
      <c r="AL7" s="58">
        <f t="shared" si="0"/>
        <v>0.98911074960989565</v>
      </c>
      <c r="AM7" s="58"/>
      <c r="AN7" s="58" t="str">
        <f t="shared" si="0"/>
        <v/>
      </c>
      <c r="AO7" s="58" t="str">
        <f t="shared" si="1"/>
        <v/>
      </c>
      <c r="AP7" s="58" t="str">
        <f t="shared" si="1"/>
        <v/>
      </c>
    </row>
    <row r="8" spans="1:42" x14ac:dyDescent="0.25">
      <c r="A8" t="s">
        <v>12</v>
      </c>
      <c r="B8" s="3">
        <v>5623.5091320000001</v>
      </c>
      <c r="C8" s="3">
        <v>9330.1908330000006</v>
      </c>
      <c r="D8" s="3">
        <v>8640.3133839999991</v>
      </c>
      <c r="E8" s="3">
        <v>7675.8079319999997</v>
      </c>
      <c r="F8" s="3">
        <v>7066.0647099999996</v>
      </c>
      <c r="G8" s="3">
        <v>6535.0257840000004</v>
      </c>
      <c r="H8" s="3">
        <v>7004.2986950000004</v>
      </c>
      <c r="I8" s="3">
        <v>6964.6442850000003</v>
      </c>
      <c r="J8" s="3">
        <v>7006.5772829999996</v>
      </c>
      <c r="K8" s="3">
        <v>7243.7480859999996</v>
      </c>
      <c r="L8" s="3">
        <v>7123.773443</v>
      </c>
      <c r="M8" s="3">
        <v>7118.9605069999998</v>
      </c>
      <c r="N8" s="3">
        <v>7294.0746589999999</v>
      </c>
      <c r="O8" s="3">
        <v>7250.9791160000004</v>
      </c>
      <c r="P8" s="3">
        <v>6981.2221769999996</v>
      </c>
      <c r="Q8" s="3"/>
      <c r="R8" s="3"/>
      <c r="S8" s="3"/>
      <c r="T8" s="3"/>
      <c r="U8" s="3"/>
      <c r="W8" t="s">
        <v>12</v>
      </c>
      <c r="X8" s="58">
        <f t="shared" si="2"/>
        <v>1.6591403363973412</v>
      </c>
      <c r="Y8" s="58">
        <f t="shared" si="0"/>
        <v>0.92605966358587544</v>
      </c>
      <c r="Z8" s="58">
        <f t="shared" si="0"/>
        <v>0.88837147344839873</v>
      </c>
      <c r="AA8" s="58">
        <f t="shared" si="0"/>
        <v>0.92056299123144869</v>
      </c>
      <c r="AB8" s="58">
        <f t="shared" si="0"/>
        <v>0.92484658041010226</v>
      </c>
      <c r="AC8" s="58">
        <f t="shared" si="0"/>
        <v>1.0718088843886342</v>
      </c>
      <c r="AD8" s="58">
        <f t="shared" si="0"/>
        <v>0.99433856097137785</v>
      </c>
      <c r="AE8" s="58">
        <f t="shared" si="0"/>
        <v>1.0060208384353975</v>
      </c>
      <c r="AF8" s="58">
        <f t="shared" si="0"/>
        <v>1.0338497376708375</v>
      </c>
      <c r="AG8" s="58">
        <f t="shared" si="0"/>
        <v>0.98343749098179234</v>
      </c>
      <c r="AH8" s="58">
        <f t="shared" si="0"/>
        <v>0.99932438390432954</v>
      </c>
      <c r="AI8" s="58">
        <f t="shared" si="0"/>
        <v>1.0245982755246095</v>
      </c>
      <c r="AJ8" s="58">
        <f t="shared" si="0"/>
        <v>0.99409170525190271</v>
      </c>
      <c r="AK8" s="58">
        <f t="shared" si="0"/>
        <v>0.96279717060489722</v>
      </c>
      <c r="AL8" s="58"/>
      <c r="AM8" s="58" t="str">
        <f t="shared" si="0"/>
        <v/>
      </c>
      <c r="AN8" s="58" t="str">
        <f t="shared" si="0"/>
        <v/>
      </c>
      <c r="AO8" s="58" t="str">
        <f t="shared" si="1"/>
        <v/>
      </c>
      <c r="AP8" s="58" t="str">
        <f t="shared" si="1"/>
        <v/>
      </c>
    </row>
    <row r="9" spans="1:42" x14ac:dyDescent="0.25">
      <c r="A9" t="s">
        <v>13</v>
      </c>
      <c r="B9" s="3">
        <v>6359.5279920000003</v>
      </c>
      <c r="C9" s="3">
        <v>8484.6951119999994</v>
      </c>
      <c r="D9" s="3">
        <v>9147.1946260000004</v>
      </c>
      <c r="E9" s="3">
        <v>6628.1572630000001</v>
      </c>
      <c r="F9" s="3">
        <v>6883.1382560000002</v>
      </c>
      <c r="G9" s="3">
        <v>6989.9063880000003</v>
      </c>
      <c r="H9" s="3">
        <v>7416.5836499999996</v>
      </c>
      <c r="I9" s="3">
        <v>7768.2186339999998</v>
      </c>
      <c r="J9" s="3">
        <v>8116.9356289999996</v>
      </c>
      <c r="K9" s="3">
        <v>7775.4961649999996</v>
      </c>
      <c r="L9" s="3">
        <v>7907.968167</v>
      </c>
      <c r="M9" s="3">
        <v>7946.1926460000004</v>
      </c>
      <c r="N9" s="3">
        <v>7905.0850559999999</v>
      </c>
      <c r="O9" s="3">
        <v>7503.6233940000002</v>
      </c>
      <c r="P9" s="3"/>
      <c r="Q9" s="3"/>
      <c r="R9" s="3"/>
      <c r="S9" s="3"/>
      <c r="T9" s="3"/>
      <c r="U9" s="3"/>
      <c r="W9" t="s">
        <v>13</v>
      </c>
      <c r="X9" s="58">
        <f t="shared" si="2"/>
        <v>1.3341705740855867</v>
      </c>
      <c r="Y9" s="58">
        <f t="shared" si="0"/>
        <v>1.0780817112759915</v>
      </c>
      <c r="Z9" s="58">
        <f t="shared" si="0"/>
        <v>0.72461093635857654</v>
      </c>
      <c r="AA9" s="58">
        <f t="shared" si="0"/>
        <v>1.0384693637888416</v>
      </c>
      <c r="AB9" s="58">
        <f t="shared" si="0"/>
        <v>1.0155115483706769</v>
      </c>
      <c r="AC9" s="58">
        <f t="shared" si="0"/>
        <v>1.0610419136274132</v>
      </c>
      <c r="AD9" s="58">
        <f t="shared" si="0"/>
        <v>1.0474119892115017</v>
      </c>
      <c r="AE9" s="58">
        <f t="shared" si="0"/>
        <v>1.0448902137581109</v>
      </c>
      <c r="AF9" s="58">
        <f t="shared" si="0"/>
        <v>0.95793493017486631</v>
      </c>
      <c r="AG9" s="58">
        <f t="shared" si="0"/>
        <v>1.0170371123834256</v>
      </c>
      <c r="AH9" s="58">
        <f t="shared" si="0"/>
        <v>1.0048336662708774</v>
      </c>
      <c r="AI9" s="58">
        <f t="shared" si="0"/>
        <v>0.99482675643149765</v>
      </c>
      <c r="AJ9" s="58">
        <f t="shared" si="0"/>
        <v>0.9492147574433385</v>
      </c>
      <c r="AK9" s="58"/>
      <c r="AL9" s="58" t="str">
        <f t="shared" si="0"/>
        <v/>
      </c>
      <c r="AM9" s="58" t="str">
        <f t="shared" si="0"/>
        <v/>
      </c>
      <c r="AN9" s="58" t="str">
        <f t="shared" si="0"/>
        <v/>
      </c>
      <c r="AO9" s="58" t="str">
        <f t="shared" si="1"/>
        <v/>
      </c>
      <c r="AP9" s="58" t="str">
        <f t="shared" si="1"/>
        <v/>
      </c>
    </row>
    <row r="10" spans="1:42" x14ac:dyDescent="0.25">
      <c r="A10" t="s">
        <v>14</v>
      </c>
      <c r="B10" s="3">
        <v>3654.8670699999998</v>
      </c>
      <c r="C10" s="3">
        <v>4337.5018630000004</v>
      </c>
      <c r="D10" s="3">
        <v>3999.7592930000001</v>
      </c>
      <c r="E10" s="3">
        <v>4567.8485280000004</v>
      </c>
      <c r="F10" s="3">
        <v>6659.1623380000001</v>
      </c>
      <c r="G10" s="3">
        <v>6570.5066569999999</v>
      </c>
      <c r="H10" s="3">
        <v>6598.8960049999996</v>
      </c>
      <c r="I10" s="3">
        <v>6949.1940619999996</v>
      </c>
      <c r="J10" s="3">
        <v>7302.9913790000001</v>
      </c>
      <c r="K10" s="3">
        <v>7384.1137689999996</v>
      </c>
      <c r="L10" s="3">
        <v>8192.2917959999995</v>
      </c>
      <c r="M10" s="3">
        <v>8634.6169140000002</v>
      </c>
      <c r="N10" s="3">
        <v>8644.1149060000007</v>
      </c>
      <c r="O10" s="3"/>
      <c r="P10" s="3"/>
      <c r="Q10" s="3"/>
      <c r="R10" s="3"/>
      <c r="S10" s="3"/>
      <c r="T10" s="3"/>
      <c r="U10" s="3"/>
      <c r="W10" t="s">
        <v>14</v>
      </c>
      <c r="X10" s="58">
        <f t="shared" si="2"/>
        <v>1.1867741780824879</v>
      </c>
      <c r="Y10" s="58">
        <f t="shared" si="0"/>
        <v>0.92213431125389689</v>
      </c>
      <c r="Z10" s="58">
        <f t="shared" si="0"/>
        <v>1.1420308557052961</v>
      </c>
      <c r="AA10" s="58">
        <f t="shared" si="0"/>
        <v>1.4578334411004794</v>
      </c>
      <c r="AB10" s="58">
        <f t="shared" si="0"/>
        <v>0.98668666170006203</v>
      </c>
      <c r="AC10" s="58">
        <f t="shared" si="0"/>
        <v>1.0043207243340595</v>
      </c>
      <c r="AD10" s="58">
        <f t="shared" si="0"/>
        <v>1.0530843427043823</v>
      </c>
      <c r="AE10" s="58">
        <f t="shared" si="0"/>
        <v>1.0509119926488535</v>
      </c>
      <c r="AF10" s="58">
        <f t="shared" si="0"/>
        <v>1.0111081043082248</v>
      </c>
      <c r="AG10" s="58">
        <f t="shared" si="0"/>
        <v>1.1094482089906164</v>
      </c>
      <c r="AH10" s="58">
        <f t="shared" si="0"/>
        <v>1.0539928421758575</v>
      </c>
      <c r="AI10" s="58">
        <f t="shared" si="0"/>
        <v>1.0010999899699777</v>
      </c>
      <c r="AJ10" s="58"/>
      <c r="AK10" s="58" t="str">
        <f t="shared" si="0"/>
        <v/>
      </c>
      <c r="AL10" s="58" t="str">
        <f t="shared" si="0"/>
        <v/>
      </c>
      <c r="AM10" s="58" t="str">
        <f t="shared" si="0"/>
        <v/>
      </c>
      <c r="AN10" s="58" t="str">
        <f t="shared" si="0"/>
        <v/>
      </c>
      <c r="AO10" s="58" t="str">
        <f t="shared" si="1"/>
        <v/>
      </c>
      <c r="AP10" s="58" t="str">
        <f t="shared" si="1"/>
        <v/>
      </c>
    </row>
    <row r="11" spans="1:42" x14ac:dyDescent="0.25">
      <c r="A11" t="s">
        <v>15</v>
      </c>
      <c r="B11" s="3">
        <v>1202.8039240000001</v>
      </c>
      <c r="C11" s="3">
        <v>2897.1202450000001</v>
      </c>
      <c r="D11" s="3">
        <v>3288.5607690000002</v>
      </c>
      <c r="E11" s="3">
        <v>2418.3609670000001</v>
      </c>
      <c r="F11" s="3">
        <v>2197.3262880000002</v>
      </c>
      <c r="G11" s="3">
        <v>3144.428441</v>
      </c>
      <c r="H11" s="3">
        <v>3153.2289059999998</v>
      </c>
      <c r="I11" s="3">
        <v>3073.0714290000001</v>
      </c>
      <c r="J11" s="3">
        <v>3108.656931</v>
      </c>
      <c r="K11" s="3">
        <v>2366.9183509999998</v>
      </c>
      <c r="L11" s="3">
        <v>1991.5093220000001</v>
      </c>
      <c r="M11" s="3">
        <v>2082.8039800000001</v>
      </c>
      <c r="N11" s="3"/>
      <c r="O11" s="3"/>
      <c r="P11" s="3"/>
      <c r="Q11" s="3"/>
      <c r="R11" s="3"/>
      <c r="S11" s="3"/>
      <c r="T11" s="3"/>
      <c r="U11" s="3"/>
      <c r="W11" t="s">
        <v>15</v>
      </c>
      <c r="X11" s="58">
        <f t="shared" si="2"/>
        <v>2.4086388372973082</v>
      </c>
      <c r="Y11" s="58">
        <f t="shared" si="0"/>
        <v>1.1351136614628159</v>
      </c>
      <c r="Z11" s="58">
        <f t="shared" si="0"/>
        <v>0.73538582281859</v>
      </c>
      <c r="AA11" s="58">
        <f t="shared" si="0"/>
        <v>0.90860145279544624</v>
      </c>
      <c r="AB11" s="58">
        <f t="shared" si="0"/>
        <v>1.4310248132798016</v>
      </c>
      <c r="AC11" s="58">
        <f t="shared" si="0"/>
        <v>1.0027987486963452</v>
      </c>
      <c r="AD11" s="58">
        <f t="shared" si="0"/>
        <v>0.97457923944326552</v>
      </c>
      <c r="AE11" s="58">
        <f t="shared" si="0"/>
        <v>1.011579783556017</v>
      </c>
      <c r="AF11" s="58">
        <f t="shared" si="0"/>
        <v>0.76139580646443483</v>
      </c>
      <c r="AG11" s="58">
        <f t="shared" si="0"/>
        <v>0.84139333372382996</v>
      </c>
      <c r="AH11" s="58">
        <f t="shared" si="0"/>
        <v>1.0458419435909625</v>
      </c>
      <c r="AI11" s="58"/>
      <c r="AJ11" s="58" t="str">
        <f t="shared" si="0"/>
        <v/>
      </c>
      <c r="AK11" s="58" t="str">
        <f t="shared" si="0"/>
        <v/>
      </c>
      <c r="AL11" s="58" t="str">
        <f t="shared" si="0"/>
        <v/>
      </c>
      <c r="AM11" s="58" t="str">
        <f t="shared" si="0"/>
        <v/>
      </c>
      <c r="AN11" s="58" t="str">
        <f t="shared" si="0"/>
        <v/>
      </c>
      <c r="AO11" s="58" t="str">
        <f t="shared" si="1"/>
        <v/>
      </c>
      <c r="AP11" s="58" t="str">
        <f t="shared" si="1"/>
        <v/>
      </c>
    </row>
    <row r="12" spans="1:42" x14ac:dyDescent="0.25">
      <c r="A12" t="s">
        <v>16</v>
      </c>
      <c r="B12" s="3">
        <v>1110.2537170000001</v>
      </c>
      <c r="C12" s="3">
        <v>2110.9608199999998</v>
      </c>
      <c r="D12" s="3">
        <v>3328.017546</v>
      </c>
      <c r="E12" s="3">
        <v>5474.0174720000005</v>
      </c>
      <c r="F12" s="3">
        <v>5593.3759659999996</v>
      </c>
      <c r="G12" s="3">
        <v>5660.3850599999996</v>
      </c>
      <c r="H12" s="3">
        <v>4710.0161550000003</v>
      </c>
      <c r="I12" s="3">
        <v>4873.516482</v>
      </c>
      <c r="J12" s="3">
        <v>4568.5693060000003</v>
      </c>
      <c r="K12" s="3">
        <v>4547.1319759999997</v>
      </c>
      <c r="L12" s="3">
        <v>4600.6671729999998</v>
      </c>
      <c r="M12" s="3"/>
      <c r="N12" s="3"/>
      <c r="O12" s="3"/>
      <c r="P12" s="3"/>
      <c r="Q12" s="3"/>
      <c r="R12" s="3"/>
      <c r="S12" s="3"/>
      <c r="T12" s="3"/>
      <c r="U12" s="3"/>
      <c r="W12" t="s">
        <v>16</v>
      </c>
      <c r="X12" s="58">
        <f t="shared" si="2"/>
        <v>1.901331909704383</v>
      </c>
      <c r="Y12" s="58">
        <f t="shared" si="0"/>
        <v>1.5765415987209086</v>
      </c>
      <c r="Z12" s="58">
        <f t="shared" si="0"/>
        <v>1.6448283088469031</v>
      </c>
      <c r="AA12" s="58">
        <f t="shared" si="0"/>
        <v>1.0218045511565366</v>
      </c>
      <c r="AB12" s="58">
        <f t="shared" si="0"/>
        <v>1.0119800804393131</v>
      </c>
      <c r="AC12" s="58">
        <f t="shared" si="0"/>
        <v>0.83210172189239728</v>
      </c>
      <c r="AD12" s="58">
        <f t="shared" si="0"/>
        <v>1.0347133261584323</v>
      </c>
      <c r="AE12" s="58">
        <f t="shared" si="0"/>
        <v>0.93742769166241635</v>
      </c>
      <c r="AF12" s="58">
        <f t="shared" si="0"/>
        <v>0.99530764916451053</v>
      </c>
      <c r="AG12" s="58">
        <f t="shared" si="0"/>
        <v>1.0117733985471637</v>
      </c>
      <c r="AH12" s="58"/>
      <c r="AI12" s="58" t="str">
        <f t="shared" si="0"/>
        <v/>
      </c>
      <c r="AJ12" s="58" t="str">
        <f t="shared" si="0"/>
        <v/>
      </c>
      <c r="AK12" s="58" t="str">
        <f t="shared" si="0"/>
        <v/>
      </c>
      <c r="AL12" s="58" t="str">
        <f t="shared" si="0"/>
        <v/>
      </c>
      <c r="AM12" s="58" t="str">
        <f t="shared" si="0"/>
        <v/>
      </c>
      <c r="AN12" s="58" t="str">
        <f t="shared" si="0"/>
        <v/>
      </c>
      <c r="AO12" s="58" t="str">
        <f t="shared" si="1"/>
        <v/>
      </c>
      <c r="AP12" s="58" t="str">
        <f t="shared" si="1"/>
        <v/>
      </c>
    </row>
    <row r="13" spans="1:42" x14ac:dyDescent="0.25">
      <c r="A13" t="s">
        <v>17</v>
      </c>
      <c r="B13" s="3">
        <v>775.70814529999996</v>
      </c>
      <c r="C13" s="3">
        <v>3290.3510879999999</v>
      </c>
      <c r="D13" s="3">
        <v>6314.5491259999999</v>
      </c>
      <c r="E13" s="3">
        <v>7099.3832490000004</v>
      </c>
      <c r="F13" s="3">
        <v>7206.3838900000001</v>
      </c>
      <c r="G13" s="3">
        <v>6951.1238869999997</v>
      </c>
      <c r="H13" s="3">
        <v>6910.5626920000004</v>
      </c>
      <c r="I13" s="3">
        <v>6848.320033</v>
      </c>
      <c r="J13" s="3">
        <v>6906.1682719999999</v>
      </c>
      <c r="K13" s="3">
        <v>6825.708533</v>
      </c>
      <c r="L13" s="3"/>
      <c r="M13" s="3"/>
      <c r="N13" s="3"/>
      <c r="O13" s="3"/>
      <c r="P13" s="3"/>
      <c r="Q13" s="3"/>
      <c r="R13" s="3"/>
      <c r="S13" s="3"/>
      <c r="T13" s="3"/>
      <c r="U13" s="3"/>
      <c r="W13" t="s">
        <v>17</v>
      </c>
      <c r="X13" s="58">
        <f t="shared" si="2"/>
        <v>4.2417384784937102</v>
      </c>
      <c r="Y13" s="58">
        <f t="shared" si="0"/>
        <v>1.9191110483708966</v>
      </c>
      <c r="Z13" s="58">
        <f t="shared" si="0"/>
        <v>1.124289811883554</v>
      </c>
      <c r="AA13" s="58">
        <f t="shared" si="0"/>
        <v>1.0150718220508903</v>
      </c>
      <c r="AB13" s="58">
        <f t="shared" si="0"/>
        <v>0.96457862821404583</v>
      </c>
      <c r="AC13" s="58">
        <f t="shared" si="0"/>
        <v>0.99416480044675126</v>
      </c>
      <c r="AD13" s="58">
        <f t="shared" si="0"/>
        <v>0.99099311275013025</v>
      </c>
      <c r="AE13" s="58">
        <f t="shared" si="0"/>
        <v>1.0084470700436379</v>
      </c>
      <c r="AF13" s="58">
        <f t="shared" si="0"/>
        <v>0.98834958317969002</v>
      </c>
      <c r="AG13" s="58"/>
      <c r="AH13" s="58" t="str">
        <f t="shared" si="0"/>
        <v/>
      </c>
      <c r="AI13" s="58" t="str">
        <f t="shared" si="0"/>
        <v/>
      </c>
      <c r="AJ13" s="58" t="str">
        <f t="shared" si="0"/>
        <v/>
      </c>
      <c r="AK13" s="58" t="str">
        <f t="shared" si="0"/>
        <v/>
      </c>
      <c r="AL13" s="58" t="str">
        <f t="shared" si="0"/>
        <v/>
      </c>
      <c r="AM13" s="58" t="str">
        <f t="shared" si="0"/>
        <v/>
      </c>
      <c r="AN13" s="58" t="str">
        <f t="shared" si="0"/>
        <v/>
      </c>
      <c r="AO13" s="58" t="str">
        <f t="shared" si="1"/>
        <v/>
      </c>
      <c r="AP13" s="58" t="str">
        <f t="shared" si="1"/>
        <v/>
      </c>
    </row>
    <row r="14" spans="1:42" x14ac:dyDescent="0.25">
      <c r="A14" t="s">
        <v>18</v>
      </c>
      <c r="B14" s="3">
        <v>1857.653892</v>
      </c>
      <c r="C14" s="3">
        <v>3064.3523420000001</v>
      </c>
      <c r="D14" s="3">
        <v>3964.8945680000002</v>
      </c>
      <c r="E14" s="3">
        <v>3906.1744210000002</v>
      </c>
      <c r="F14" s="3">
        <v>4058.235306</v>
      </c>
      <c r="G14" s="3">
        <v>4269.9347479999997</v>
      </c>
      <c r="H14" s="3">
        <v>4018.8134049999999</v>
      </c>
      <c r="I14" s="3">
        <v>3867.2756650000001</v>
      </c>
      <c r="J14" s="3">
        <v>5107.3856580000001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W14" t="s">
        <v>18</v>
      </c>
      <c r="X14" s="58">
        <f t="shared" si="2"/>
        <v>1.6495819566802274</v>
      </c>
      <c r="Y14" s="58">
        <f t="shared" si="0"/>
        <v>1.2938768540605374</v>
      </c>
      <c r="Z14" s="58">
        <f t="shared" si="0"/>
        <v>0.98518998525864454</v>
      </c>
      <c r="AA14" s="58">
        <f t="shared" si="0"/>
        <v>1.0389283397542375</v>
      </c>
      <c r="AB14" s="58">
        <f t="shared" si="0"/>
        <v>1.0521653935854847</v>
      </c>
      <c r="AC14" s="58">
        <f t="shared" si="0"/>
        <v>0.94118848230230623</v>
      </c>
      <c r="AD14" s="58">
        <f t="shared" si="0"/>
        <v>0.96229291466693523</v>
      </c>
      <c r="AE14" s="58">
        <f t="shared" si="0"/>
        <v>1.3206675966296806</v>
      </c>
      <c r="AF14" s="58"/>
      <c r="AG14" s="58" t="str">
        <f t="shared" si="0"/>
        <v/>
      </c>
      <c r="AH14" s="58" t="str">
        <f t="shared" si="0"/>
        <v/>
      </c>
      <c r="AI14" s="58" t="str">
        <f t="shared" si="0"/>
        <v/>
      </c>
      <c r="AJ14" s="58" t="str">
        <f t="shared" si="0"/>
        <v/>
      </c>
      <c r="AK14" s="58" t="str">
        <f t="shared" si="0"/>
        <v/>
      </c>
      <c r="AL14" s="58" t="str">
        <f t="shared" si="0"/>
        <v/>
      </c>
      <c r="AM14" s="58" t="str">
        <f t="shared" si="0"/>
        <v/>
      </c>
      <c r="AN14" s="58" t="str">
        <f t="shared" si="0"/>
        <v/>
      </c>
      <c r="AO14" s="58" t="str">
        <f t="shared" si="1"/>
        <v/>
      </c>
      <c r="AP14" s="58" t="str">
        <f t="shared" si="1"/>
        <v/>
      </c>
    </row>
    <row r="15" spans="1:42" x14ac:dyDescent="0.25">
      <c r="A15" t="s">
        <v>19</v>
      </c>
      <c r="B15" s="3">
        <v>1607.706719</v>
      </c>
      <c r="C15" s="3">
        <v>4000.340565</v>
      </c>
      <c r="D15" s="3">
        <v>4989.0850799999998</v>
      </c>
      <c r="E15" s="3">
        <v>4800.1831439999996</v>
      </c>
      <c r="F15" s="3">
        <v>4794.5331759999999</v>
      </c>
      <c r="G15" s="3">
        <v>5481.6437669999996</v>
      </c>
      <c r="H15" s="3">
        <v>4777.9785350000002</v>
      </c>
      <c r="I15" s="3">
        <v>4847.1499620000004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W15" t="s">
        <v>19</v>
      </c>
      <c r="X15" s="58">
        <f t="shared" si="2"/>
        <v>2.48822780779832</v>
      </c>
      <c r="Y15" s="58">
        <f t="shared" si="0"/>
        <v>1.2471650848057232</v>
      </c>
      <c r="Z15" s="58">
        <f t="shared" si="0"/>
        <v>0.96213695838596514</v>
      </c>
      <c r="AA15" s="58">
        <f t="shared" si="0"/>
        <v>0.99882296824298011</v>
      </c>
      <c r="AB15" s="58">
        <f t="shared" si="0"/>
        <v>1.1433112600908615</v>
      </c>
      <c r="AC15" s="58">
        <f t="shared" si="0"/>
        <v>0.87163244057628686</v>
      </c>
      <c r="AD15" s="58">
        <f t="shared" si="0"/>
        <v>1.0144771322209383</v>
      </c>
      <c r="AE15" s="58"/>
      <c r="AF15" s="58" t="str">
        <f t="shared" si="0"/>
        <v/>
      </c>
      <c r="AG15" s="58" t="str">
        <f t="shared" si="0"/>
        <v/>
      </c>
      <c r="AH15" s="58" t="str">
        <f t="shared" si="0"/>
        <v/>
      </c>
      <c r="AI15" s="58" t="str">
        <f t="shared" si="0"/>
        <v/>
      </c>
      <c r="AJ15" s="58" t="str">
        <f t="shared" si="0"/>
        <v/>
      </c>
      <c r="AK15" s="58" t="str">
        <f t="shared" si="0"/>
        <v/>
      </c>
      <c r="AL15" s="58" t="str">
        <f t="shared" si="0"/>
        <v/>
      </c>
      <c r="AM15" s="58" t="str">
        <f t="shared" si="0"/>
        <v/>
      </c>
      <c r="AN15" s="58" t="str">
        <f t="shared" si="0"/>
        <v/>
      </c>
      <c r="AO15" s="58" t="str">
        <f t="shared" si="1"/>
        <v/>
      </c>
      <c r="AP15" s="58" t="str">
        <f t="shared" si="1"/>
        <v/>
      </c>
    </row>
    <row r="16" spans="1:42" x14ac:dyDescent="0.25">
      <c r="A16" t="s">
        <v>20</v>
      </c>
      <c r="B16" s="3">
        <v>3120.317258</v>
      </c>
      <c r="C16" s="3">
        <v>3906.2209229999999</v>
      </c>
      <c r="D16" s="3">
        <v>7001.9387280000001</v>
      </c>
      <c r="E16" s="3">
        <v>9182.1756050000004</v>
      </c>
      <c r="F16" s="3">
        <v>9679.8029879999995</v>
      </c>
      <c r="G16" s="3">
        <v>7915.8269710000004</v>
      </c>
      <c r="H16" s="3">
        <v>10125.441360000001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W16" t="s">
        <v>20</v>
      </c>
      <c r="X16" s="58">
        <f t="shared" si="2"/>
        <v>1.2518665892018086</v>
      </c>
      <c r="Y16" s="58">
        <f t="shared" si="0"/>
        <v>1.7925096572936463</v>
      </c>
      <c r="Z16" s="58">
        <f t="shared" si="0"/>
        <v>1.3113761718995722</v>
      </c>
      <c r="AA16" s="58">
        <f t="shared" si="0"/>
        <v>1.0541949320517268</v>
      </c>
      <c r="AB16" s="58">
        <f t="shared" si="0"/>
        <v>0.81776736373800263</v>
      </c>
      <c r="AC16" s="58">
        <f t="shared" si="0"/>
        <v>1.2791387933433898</v>
      </c>
      <c r="AD16" s="58"/>
      <c r="AE16" s="58" t="str">
        <f t="shared" si="0"/>
        <v/>
      </c>
      <c r="AF16" s="58" t="str">
        <f t="shared" si="0"/>
        <v/>
      </c>
      <c r="AG16" s="58" t="str">
        <f t="shared" si="0"/>
        <v/>
      </c>
      <c r="AH16" s="58" t="str">
        <f t="shared" si="0"/>
        <v/>
      </c>
      <c r="AI16" s="58" t="str">
        <f t="shared" si="0"/>
        <v/>
      </c>
      <c r="AJ16" s="58" t="str">
        <f t="shared" si="0"/>
        <v/>
      </c>
      <c r="AK16" s="58" t="str">
        <f t="shared" si="0"/>
        <v/>
      </c>
      <c r="AL16" s="58" t="str">
        <f t="shared" si="0"/>
        <v/>
      </c>
      <c r="AM16" s="58" t="str">
        <f t="shared" si="0"/>
        <v/>
      </c>
      <c r="AN16" s="58" t="str">
        <f t="shared" si="0"/>
        <v/>
      </c>
      <c r="AO16" s="58" t="str">
        <f t="shared" si="1"/>
        <v/>
      </c>
      <c r="AP16" s="58" t="str">
        <f t="shared" si="1"/>
        <v/>
      </c>
    </row>
    <row r="17" spans="1:43" x14ac:dyDescent="0.25">
      <c r="A17" t="s">
        <v>21</v>
      </c>
      <c r="B17" s="3">
        <v>1186.749178</v>
      </c>
      <c r="C17" s="3">
        <v>1948.7160409999999</v>
      </c>
      <c r="D17" s="3">
        <v>3061.9691250000001</v>
      </c>
      <c r="E17" s="3">
        <v>4515.3247449999999</v>
      </c>
      <c r="F17" s="3">
        <v>4628.4054960000003</v>
      </c>
      <c r="G17" s="3">
        <v>4755.1345259999998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W17" t="s">
        <v>21</v>
      </c>
      <c r="X17" s="58">
        <f t="shared" si="2"/>
        <v>1.6420622631347632</v>
      </c>
      <c r="Y17" s="58">
        <f t="shared" si="0"/>
        <v>1.5712751681505763</v>
      </c>
      <c r="Z17" s="58">
        <f t="shared" si="0"/>
        <v>1.4746473790783243</v>
      </c>
      <c r="AA17" s="58">
        <f t="shared" si="0"/>
        <v>1.0250437692494254</v>
      </c>
      <c r="AB17" s="58">
        <f t="shared" si="0"/>
        <v>1.0273807102920265</v>
      </c>
      <c r="AC17" s="58"/>
      <c r="AD17" s="58" t="str">
        <f t="shared" si="0"/>
        <v/>
      </c>
      <c r="AE17" s="58" t="str">
        <f t="shared" si="0"/>
        <v/>
      </c>
      <c r="AF17" s="58" t="str">
        <f t="shared" si="0"/>
        <v/>
      </c>
      <c r="AG17" s="58" t="str">
        <f t="shared" si="0"/>
        <v/>
      </c>
      <c r="AH17" s="58" t="str">
        <f t="shared" si="0"/>
        <v/>
      </c>
      <c r="AI17" s="58" t="str">
        <f t="shared" si="0"/>
        <v/>
      </c>
      <c r="AJ17" s="58" t="str">
        <f t="shared" si="0"/>
        <v/>
      </c>
      <c r="AK17" s="58" t="str">
        <f t="shared" si="0"/>
        <v/>
      </c>
      <c r="AL17" s="58" t="str">
        <f t="shared" si="0"/>
        <v/>
      </c>
      <c r="AM17" s="58" t="str">
        <f t="shared" si="0"/>
        <v/>
      </c>
      <c r="AN17" s="58" t="str">
        <f t="shared" si="0"/>
        <v/>
      </c>
      <c r="AO17" s="58" t="str">
        <f t="shared" si="1"/>
        <v/>
      </c>
      <c r="AP17" s="58" t="str">
        <f t="shared" si="1"/>
        <v/>
      </c>
    </row>
    <row r="18" spans="1:43" x14ac:dyDescent="0.25">
      <c r="A18" t="s">
        <v>22</v>
      </c>
      <c r="B18" s="3">
        <v>508.12516470000003</v>
      </c>
      <c r="C18" s="3">
        <v>1844.156745</v>
      </c>
      <c r="D18" s="3">
        <v>4444.6536349999997</v>
      </c>
      <c r="E18" s="3">
        <v>6455.914597</v>
      </c>
      <c r="F18" s="3">
        <v>7419.1993769999999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W18" t="s">
        <v>22</v>
      </c>
      <c r="X18" s="58">
        <f t="shared" si="2"/>
        <v>3.6293355911408178</v>
      </c>
      <c r="Y18" s="58">
        <f t="shared" si="0"/>
        <v>2.4101279064540688</v>
      </c>
      <c r="Z18" s="58">
        <f t="shared" si="0"/>
        <v>1.45251241765209</v>
      </c>
      <c r="AA18" s="58">
        <f t="shared" si="0"/>
        <v>1.1492096534931904</v>
      </c>
      <c r="AB18" s="58"/>
      <c r="AC18" s="58" t="str">
        <f t="shared" si="0"/>
        <v/>
      </c>
      <c r="AD18" s="58" t="str">
        <f t="shared" si="0"/>
        <v/>
      </c>
      <c r="AE18" s="58" t="str">
        <f t="shared" si="0"/>
        <v/>
      </c>
      <c r="AF18" s="58" t="str">
        <f t="shared" si="0"/>
        <v/>
      </c>
      <c r="AG18" s="58" t="str">
        <f t="shared" si="0"/>
        <v/>
      </c>
      <c r="AH18" s="58" t="str">
        <f t="shared" si="0"/>
        <v/>
      </c>
      <c r="AI18" s="58" t="str">
        <f t="shared" si="0"/>
        <v/>
      </c>
      <c r="AJ18" s="58" t="str">
        <f t="shared" si="0"/>
        <v/>
      </c>
      <c r="AK18" s="58" t="str">
        <f t="shared" si="0"/>
        <v/>
      </c>
      <c r="AL18" s="58" t="str">
        <f t="shared" si="0"/>
        <v/>
      </c>
      <c r="AM18" s="58" t="str">
        <f t="shared" si="0"/>
        <v/>
      </c>
      <c r="AN18" s="58" t="str">
        <f t="shared" si="0"/>
        <v/>
      </c>
      <c r="AO18" s="58" t="str">
        <f t="shared" si="1"/>
        <v/>
      </c>
      <c r="AP18" s="58" t="str">
        <f t="shared" si="1"/>
        <v/>
      </c>
    </row>
    <row r="19" spans="1:43" x14ac:dyDescent="0.25">
      <c r="A19" t="s">
        <v>23</v>
      </c>
      <c r="B19" s="3">
        <v>631.91295530000002</v>
      </c>
      <c r="C19" s="3">
        <v>1950.552862</v>
      </c>
      <c r="D19" s="3">
        <v>2235.3182579999998</v>
      </c>
      <c r="E19" s="3">
        <v>4024.5331259999998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W19" t="s">
        <v>23</v>
      </c>
      <c r="X19" s="58">
        <f t="shared" si="2"/>
        <v>3.0867429535037418</v>
      </c>
      <c r="Y19" s="58">
        <f t="shared" si="0"/>
        <v>1.1459921448670791</v>
      </c>
      <c r="Z19" s="58">
        <f t="shared" si="0"/>
        <v>1.8004295860764181</v>
      </c>
      <c r="AA19" s="58"/>
      <c r="AB19" s="58" t="str">
        <f t="shared" si="0"/>
        <v/>
      </c>
      <c r="AC19" s="58" t="str">
        <f t="shared" si="0"/>
        <v/>
      </c>
      <c r="AD19" s="58" t="str">
        <f t="shared" si="0"/>
        <v/>
      </c>
      <c r="AE19" s="58" t="str">
        <f t="shared" si="0"/>
        <v/>
      </c>
      <c r="AF19" s="58" t="str">
        <f t="shared" si="0"/>
        <v/>
      </c>
      <c r="AG19" s="58" t="str">
        <f t="shared" si="0"/>
        <v/>
      </c>
      <c r="AH19" s="58" t="str">
        <f t="shared" si="0"/>
        <v/>
      </c>
      <c r="AI19" s="58" t="str">
        <f t="shared" si="0"/>
        <v/>
      </c>
      <c r="AJ19" s="58" t="str">
        <f t="shared" si="0"/>
        <v/>
      </c>
      <c r="AK19" s="58" t="str">
        <f t="shared" si="0"/>
        <v/>
      </c>
      <c r="AL19" s="58" t="str">
        <f t="shared" ref="AL19:AN37" si="3">IFERROR(Q19/P19,"")</f>
        <v/>
      </c>
      <c r="AM19" s="58" t="str">
        <f t="shared" si="3"/>
        <v/>
      </c>
      <c r="AN19" s="58" t="str">
        <f t="shared" si="3"/>
        <v/>
      </c>
      <c r="AO19" s="58" t="str">
        <f t="shared" si="1"/>
        <v/>
      </c>
      <c r="AP19" s="58" t="str">
        <f t="shared" si="1"/>
        <v/>
      </c>
    </row>
    <row r="20" spans="1:43" x14ac:dyDescent="0.25">
      <c r="A20" t="s">
        <v>24</v>
      </c>
      <c r="B20" s="3">
        <v>575.90153769999995</v>
      </c>
      <c r="C20" s="3">
        <v>3531.0095270000002</v>
      </c>
      <c r="D20" s="3">
        <v>8147.7663220000004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W20" t="s">
        <v>24</v>
      </c>
      <c r="X20" s="58">
        <f t="shared" si="2"/>
        <v>6.1312729622183824</v>
      </c>
      <c r="Y20" s="58">
        <f t="shared" si="2"/>
        <v>2.3074891924526941</v>
      </c>
      <c r="Z20" s="58"/>
      <c r="AA20" s="58" t="str">
        <f t="shared" ref="AA20:AK38" si="4">IFERROR(F20/E20,"")</f>
        <v/>
      </c>
      <c r="AB20" s="58" t="str">
        <f t="shared" si="4"/>
        <v/>
      </c>
      <c r="AC20" s="58" t="str">
        <f t="shared" si="4"/>
        <v/>
      </c>
      <c r="AD20" s="58" t="str">
        <f t="shared" si="4"/>
        <v/>
      </c>
      <c r="AE20" s="58" t="str">
        <f t="shared" si="4"/>
        <v/>
      </c>
      <c r="AF20" s="58" t="str">
        <f t="shared" si="4"/>
        <v/>
      </c>
      <c r="AG20" s="58" t="str">
        <f t="shared" si="4"/>
        <v/>
      </c>
      <c r="AH20" s="58" t="str">
        <f t="shared" si="4"/>
        <v/>
      </c>
      <c r="AI20" s="58" t="str">
        <f t="shared" si="4"/>
        <v/>
      </c>
      <c r="AJ20" s="58" t="str">
        <f t="shared" si="4"/>
        <v/>
      </c>
      <c r="AK20" s="58" t="str">
        <f t="shared" si="4"/>
        <v/>
      </c>
      <c r="AL20" s="58" t="str">
        <f t="shared" si="3"/>
        <v/>
      </c>
      <c r="AM20" s="58" t="str">
        <f t="shared" si="3"/>
        <v/>
      </c>
      <c r="AN20" s="58" t="str">
        <f t="shared" si="3"/>
        <v/>
      </c>
      <c r="AO20" s="58" t="str">
        <f t="shared" si="1"/>
        <v/>
      </c>
      <c r="AP20" s="58" t="str">
        <f t="shared" si="1"/>
        <v/>
      </c>
    </row>
    <row r="21" spans="1:43" x14ac:dyDescent="0.25">
      <c r="A21" t="s">
        <v>25</v>
      </c>
      <c r="B21" s="3">
        <v>1548.602932</v>
      </c>
      <c r="C21" s="3">
        <v>4806.7515240000002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W21" t="s">
        <v>25</v>
      </c>
      <c r="X21" s="58">
        <f t="shared" si="2"/>
        <v>3.1039276916466538</v>
      </c>
      <c r="Y21" s="58"/>
      <c r="Z21" s="58" t="str">
        <f t="shared" ref="Z21:Z39" si="5">IFERROR(E21/D21,"")</f>
        <v/>
      </c>
      <c r="AA21" s="58" t="str">
        <f t="shared" si="4"/>
        <v/>
      </c>
      <c r="AB21" s="58" t="str">
        <f t="shared" si="4"/>
        <v/>
      </c>
      <c r="AC21" s="58" t="str">
        <f t="shared" si="4"/>
        <v/>
      </c>
      <c r="AD21" s="58" t="str">
        <f t="shared" si="4"/>
        <v/>
      </c>
      <c r="AE21" s="58" t="str">
        <f t="shared" si="4"/>
        <v/>
      </c>
      <c r="AF21" s="58" t="str">
        <f t="shared" si="4"/>
        <v/>
      </c>
      <c r="AG21" s="58" t="str">
        <f t="shared" si="4"/>
        <v/>
      </c>
      <c r="AH21" s="58" t="str">
        <f t="shared" si="4"/>
        <v/>
      </c>
      <c r="AI21" s="58" t="str">
        <f t="shared" si="4"/>
        <v/>
      </c>
      <c r="AJ21" s="58" t="str">
        <f t="shared" si="4"/>
        <v/>
      </c>
      <c r="AK21" s="58" t="str">
        <f t="shared" si="4"/>
        <v/>
      </c>
      <c r="AL21" s="58" t="str">
        <f t="shared" si="3"/>
        <v/>
      </c>
      <c r="AM21" s="58" t="str">
        <f t="shared" si="3"/>
        <v/>
      </c>
      <c r="AN21" s="58" t="str">
        <f t="shared" si="3"/>
        <v/>
      </c>
      <c r="AO21" s="58" t="str">
        <f t="shared" si="1"/>
        <v/>
      </c>
      <c r="AP21" s="58" t="str">
        <f t="shared" si="1"/>
        <v/>
      </c>
    </row>
    <row r="22" spans="1:43" x14ac:dyDescent="0.25">
      <c r="A22" t="s">
        <v>26</v>
      </c>
      <c r="B22" s="3">
        <v>1877.010266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25">
      <c r="W23" s="5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</row>
    <row r="24" spans="1:43" x14ac:dyDescent="0.25">
      <c r="B24" s="6">
        <v>1</v>
      </c>
      <c r="C24" s="6">
        <f>B24+1</f>
        <v>2</v>
      </c>
      <c r="D24" s="6">
        <f t="shared" ref="D24:Q24" si="6">C24+1</f>
        <v>3</v>
      </c>
      <c r="E24" s="6">
        <f t="shared" si="6"/>
        <v>4</v>
      </c>
      <c r="F24" s="6">
        <f t="shared" si="6"/>
        <v>5</v>
      </c>
      <c r="G24" s="6">
        <f t="shared" si="6"/>
        <v>6</v>
      </c>
      <c r="H24" s="6">
        <f t="shared" si="6"/>
        <v>7</v>
      </c>
      <c r="I24" s="6">
        <f t="shared" si="6"/>
        <v>8</v>
      </c>
      <c r="J24" s="6">
        <f t="shared" si="6"/>
        <v>9</v>
      </c>
      <c r="K24" s="6">
        <f t="shared" si="6"/>
        <v>10</v>
      </c>
      <c r="L24" s="6">
        <f t="shared" si="6"/>
        <v>11</v>
      </c>
      <c r="M24" s="6">
        <f t="shared" si="6"/>
        <v>12</v>
      </c>
      <c r="N24" s="6">
        <f t="shared" si="6"/>
        <v>13</v>
      </c>
      <c r="O24" s="6">
        <f t="shared" si="6"/>
        <v>14</v>
      </c>
      <c r="P24" s="6">
        <f t="shared" si="6"/>
        <v>15</v>
      </c>
      <c r="Q24" s="6">
        <f t="shared" si="6"/>
        <v>16</v>
      </c>
      <c r="R24" s="6">
        <f>Q24+1</f>
        <v>17</v>
      </c>
      <c r="S24" s="6">
        <f t="shared" ref="S24:T24" si="7">R24+1</f>
        <v>18</v>
      </c>
      <c r="T24" s="6">
        <f t="shared" si="7"/>
        <v>19</v>
      </c>
      <c r="U24" s="6">
        <v>20</v>
      </c>
      <c r="W24" s="5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10"/>
    </row>
    <row r="25" spans="1:43" x14ac:dyDescent="0.25">
      <c r="A25" s="5" t="s">
        <v>28</v>
      </c>
      <c r="B25" s="7">
        <f t="array" ref="B25">SUM(IF(C3:C22&gt;0,C3:C22))</f>
        <v>79994.081434000007</v>
      </c>
      <c r="C25" s="7">
        <f t="array" ref="C25">SUM(IF(D3:D22&gt;0,D3:D22))</f>
        <v>97874.732548999993</v>
      </c>
      <c r="D25" s="7">
        <f t="array" ref="D25">SUM(IF(E3:E22&gt;0,E3:E22))</f>
        <v>94934.400504999998</v>
      </c>
      <c r="E25" s="7">
        <f t="array" ref="E25">SUM(IF(F3:F22&gt;0,F3:F22))</f>
        <v>94754.403665999998</v>
      </c>
      <c r="F25" s="7">
        <f t="array" ref="F25">SUM(IF(G3:G22&gt;0,G3:G22))</f>
        <v>89536.924996999995</v>
      </c>
      <c r="G25" s="7">
        <f t="array" ref="G25">SUM(IF(H3:H22&gt;0,H3:H22))</f>
        <v>85221.430109999987</v>
      </c>
      <c r="H25" s="7">
        <f t="array" ref="H25">SUM(IF(I3:I22&gt;0,I3:I22))</f>
        <v>76284.446867999999</v>
      </c>
      <c r="I25" s="7">
        <f t="array" ref="I25">SUM(IF(J3:J22&gt;0,J3:J22))</f>
        <v>73602.176562999986</v>
      </c>
      <c r="J25" s="7">
        <f t="array" ref="J25">SUM(IF(K3:K22&gt;0,K3:K22))</f>
        <v>67999.790873999998</v>
      </c>
      <c r="K25" s="7">
        <f t="array" ref="K25">SUM(IF(L3:L22&gt;0,L3:L22))</f>
        <v>63084.341393999995</v>
      </c>
      <c r="L25" s="7">
        <f t="array" ref="L25">SUM(IF(M3:M22&gt;0,M3:M22))</f>
        <v>60219.226011999992</v>
      </c>
      <c r="M25" s="7">
        <f t="array" ref="M25">SUM(IF(N3:N22&gt;0,N3:N22))</f>
        <v>61094.250375000003</v>
      </c>
      <c r="N25" s="7">
        <f t="array" ref="N25">SUM(IF(O3:O22&gt;0,O3:O22))</f>
        <v>51502.219535000004</v>
      </c>
      <c r="O25" s="7">
        <f t="array" ref="O25">SUM(IF(P3:P22&gt;0,P3:P22))</f>
        <v>43266.088168000002</v>
      </c>
      <c r="P25" s="7">
        <f t="array" ref="P25">SUM(IF(Q3:Q22&gt;0,Q3:Q22))</f>
        <v>36559.703254</v>
      </c>
      <c r="Q25" s="7">
        <f t="array" ref="Q25">SUM(IF(R3:R22&gt;0,R3:R22))</f>
        <v>29041.071403000002</v>
      </c>
      <c r="R25" s="7">
        <f t="array" ref="R25">SUM(IF(S3:S22&gt;0,S3:S22))</f>
        <v>23020.762415000001</v>
      </c>
      <c r="S25" s="7">
        <f t="array" ref="S25">SUM(IF(T3:T22&gt;0,T3:T22))</f>
        <v>15155.134136000001</v>
      </c>
      <c r="T25" s="7">
        <f t="array" ref="T25">SUM(IF(U3:U22&gt;0,U3:U22))</f>
        <v>9349.6867120000006</v>
      </c>
    </row>
    <row r="26" spans="1:43" x14ac:dyDescent="0.25">
      <c r="A26" s="5" t="s">
        <v>29</v>
      </c>
      <c r="B26" s="7">
        <f t="array" ref="B26">SUM(IF(C3:C22&gt;0,B3:B22))</f>
        <v>44031.693797000014</v>
      </c>
      <c r="C26" s="7">
        <f t="array" ref="C26">SUM(IF(D3:D22&gt;0,C3:C22))</f>
        <v>75187.32991</v>
      </c>
      <c r="D26" s="7">
        <f t="array" ref="D26">SUM(IF(E3:E22&gt;0,D3:D22))</f>
        <v>89726.966226999997</v>
      </c>
      <c r="E26" s="7">
        <f t="array" ref="E26">SUM(IF(F3:F22&gt;0,E3:E22))</f>
        <v>90909.867379000003</v>
      </c>
      <c r="F26" s="7">
        <f t="array" ref="F26">SUM(IF(G3:G22&gt;0,F3:F22))</f>
        <v>87335.204289000001</v>
      </c>
      <c r="G26" s="7">
        <f t="array" ref="G26">SUM(IF(H3:H22&gt;0,G3:G22))</f>
        <v>84781.790471</v>
      </c>
      <c r="H26" s="7">
        <f t="array" ref="H26">SUM(IF(I3:I22&gt;0,H3:H22))</f>
        <v>75095.98874999999</v>
      </c>
      <c r="I26" s="7">
        <f t="array" ref="I26">SUM(IF(J3:J22&gt;0,I3:I22))</f>
        <v>71437.296906000003</v>
      </c>
      <c r="J26" s="7">
        <f t="array" ref="J26">SUM(IF(K3:K22&gt;0,J3:J22))</f>
        <v>68494.790904999987</v>
      </c>
      <c r="K26" s="7">
        <f t="array" ref="K26">SUM(IF(L3:L22&gt;0,K3:K22))</f>
        <v>61174.082340999994</v>
      </c>
      <c r="L26" s="7">
        <f t="array" ref="L26">SUM(IF(M3:M22&gt;0,L3:L22))</f>
        <v>58483.674220999994</v>
      </c>
      <c r="M26" s="7">
        <f t="array" ref="M26">SUM(IF(N3:N22&gt;0,M3:M22))</f>
        <v>58136.422031999995</v>
      </c>
      <c r="N26" s="7">
        <f t="array" ref="N26">SUM(IF(O3:O22&gt;0,N3:N22))</f>
        <v>52450.135469000001</v>
      </c>
      <c r="O26" s="7">
        <f t="array" ref="O26">SUM(IF(P3:P22&gt;0,O3:O22))</f>
        <v>43998.596141000002</v>
      </c>
      <c r="P26" s="7">
        <f t="array" ref="P26">SUM(IF(Q3:Q22&gt;0,P3:P22))</f>
        <v>36284.865990999999</v>
      </c>
      <c r="Q26" s="7">
        <f t="array" ref="Q26">SUM(IF(R3:R22&gt;0,Q3:Q22))</f>
        <v>28051.652613000002</v>
      </c>
      <c r="R26" s="7">
        <f t="array" ref="R26">SUM(IF(S3:S22&gt;0,R3:R22))</f>
        <v>22990.385114000001</v>
      </c>
      <c r="S26" s="7">
        <f t="array" ref="S26">SUM(IF(T3:T22&gt;0,S3:S22))</f>
        <v>15199.880493000001</v>
      </c>
      <c r="T26" s="7">
        <f t="array" ref="T26">SUM(IF(U3:U22&gt;0,T3:T22))</f>
        <v>9388.4575879999993</v>
      </c>
    </row>
    <row r="27" spans="1:43" x14ac:dyDescent="0.25">
      <c r="A27" s="5" t="s">
        <v>30</v>
      </c>
      <c r="B27" s="8">
        <f>B25/B26</f>
        <v>1.8167386837944035</v>
      </c>
      <c r="C27" s="8">
        <f t="shared" ref="C27:R27" si="8">C25/C26</f>
        <v>1.3017450236117847</v>
      </c>
      <c r="D27" s="8">
        <f t="shared" si="8"/>
        <v>1.0580364465329823</v>
      </c>
      <c r="E27" s="8">
        <f t="shared" si="8"/>
        <v>1.0422895379549093</v>
      </c>
      <c r="F27" s="8">
        <f t="shared" si="8"/>
        <v>1.0252100023801891</v>
      </c>
      <c r="G27" s="8">
        <f t="shared" si="8"/>
        <v>1.0051855432228736</v>
      </c>
      <c r="H27" s="8">
        <f t="shared" si="8"/>
        <v>1.0158258535213709</v>
      </c>
      <c r="I27" s="8">
        <f t="shared" si="8"/>
        <v>1.0303046132869307</v>
      </c>
      <c r="J27" s="8">
        <f t="shared" si="8"/>
        <v>0.99277317260977505</v>
      </c>
      <c r="K27" s="8">
        <f t="shared" si="8"/>
        <v>1.0312266074111538</v>
      </c>
      <c r="L27" s="8">
        <f t="shared" si="8"/>
        <v>1.0296758337111591</v>
      </c>
      <c r="M27" s="8">
        <f t="shared" si="8"/>
        <v>1.0508773715274726</v>
      </c>
      <c r="N27" s="8">
        <f t="shared" si="8"/>
        <v>0.98192729293215553</v>
      </c>
      <c r="O27" s="8">
        <f t="shared" si="8"/>
        <v>0.98335156033950333</v>
      </c>
      <c r="P27" s="8">
        <f t="shared" si="8"/>
        <v>1.007574432356128</v>
      </c>
      <c r="Q27" s="8">
        <f t="shared" si="8"/>
        <v>1.0352713190787723</v>
      </c>
      <c r="R27" s="8">
        <f t="shared" si="8"/>
        <v>1.001321304573602</v>
      </c>
      <c r="S27" s="8">
        <f>S25/S26</f>
        <v>0.99705613757814693</v>
      </c>
      <c r="T27" s="8">
        <f t="shared" ref="T27" si="9">T25/T26</f>
        <v>0.99587036788134886</v>
      </c>
    </row>
    <row r="28" spans="1:43" x14ac:dyDescent="0.25">
      <c r="A28" s="5" t="s">
        <v>31</v>
      </c>
      <c r="B28" s="9">
        <f>1/PRODUCT(B27:$T$27)</f>
        <v>0.32046203297110881</v>
      </c>
      <c r="C28" s="9">
        <f>1/PRODUCT(C27:$T$27)</f>
        <v>0.5821957719860108</v>
      </c>
      <c r="D28" s="9">
        <f>1/PRODUCT(D27:$T$27)</f>
        <v>0.75787044895061118</v>
      </c>
      <c r="E28" s="9">
        <f>1/PRODUCT(E27:$T$27)</f>
        <v>0.80185455674006056</v>
      </c>
      <c r="F28" s="9">
        <f>1/PRODUCT(F27:$T$27)</f>
        <v>0.83576461545163616</v>
      </c>
      <c r="G28" s="9">
        <f>1/PRODUCT(G27:$T$27)</f>
        <v>0.85683424339644976</v>
      </c>
      <c r="H28" s="9">
        <f>1/PRODUCT(H27:$T$27)</f>
        <v>0.86127739440042028</v>
      </c>
      <c r="I28" s="9">
        <f>1/PRODUCT(I27:$T$27)</f>
        <v>0.87490784428546942</v>
      </c>
      <c r="J28" s="9">
        <f>1/PRODUCT(J27:$T$27)</f>
        <v>0.90142158816824269</v>
      </c>
      <c r="K28" s="9">
        <f>1/PRODUCT(K27:$T$27)</f>
        <v>0.8949071699447283</v>
      </c>
      <c r="L28" s="9">
        <f>1/PRODUCT(L27:$T$27)</f>
        <v>0.92285208481001901</v>
      </c>
      <c r="M28" s="9">
        <f>1/PRODUCT(M27:$T$27)</f>
        <v>0.95023848981883741</v>
      </c>
      <c r="N28" s="9">
        <f>1/PRODUCT(N27:$T$27)</f>
        <v>0.99858412650505535</v>
      </c>
      <c r="O28" s="9">
        <f>1/PRODUCT(O27:$T$27)</f>
        <v>0.98053700810412991</v>
      </c>
      <c r="P28" s="9">
        <f>1/PRODUCT(P27:$T$27)</f>
        <v>0.96421259688982441</v>
      </c>
      <c r="Q28" s="9">
        <f>1/PRODUCT(Q27:$T$27)</f>
        <v>0.97151595998189288</v>
      </c>
      <c r="R28" s="9">
        <f>1/PRODUCT(R27:$T$27)</f>
        <v>1.0057826093965341</v>
      </c>
      <c r="S28" s="9">
        <f>1/PRODUCT(S27:$T$27)</f>
        <v>1.0071115545583791</v>
      </c>
      <c r="T28" s="9">
        <f>1/PRODUCT(T27:$T$27)</f>
        <v>1.0041467566983007</v>
      </c>
      <c r="U28" s="10">
        <v>1</v>
      </c>
    </row>
    <row r="30" spans="1:43" ht="15.75" thickBot="1" x14ac:dyDescent="0.3">
      <c r="A30" s="15" t="s">
        <v>6</v>
      </c>
      <c r="B30" s="16" t="s">
        <v>5</v>
      </c>
      <c r="C30" s="16" t="s">
        <v>33</v>
      </c>
      <c r="D30" s="16" t="s">
        <v>32</v>
      </c>
      <c r="E30" s="16" t="s">
        <v>31</v>
      </c>
      <c r="F30" s="16" t="s">
        <v>34</v>
      </c>
      <c r="G30" s="16" t="s">
        <v>35</v>
      </c>
      <c r="H30" s="16" t="s">
        <v>36</v>
      </c>
      <c r="I30" s="16" t="s">
        <v>37</v>
      </c>
      <c r="J30" s="16" t="s">
        <v>39</v>
      </c>
      <c r="K30" s="16" t="s">
        <v>40</v>
      </c>
      <c r="L30" s="18" t="s">
        <v>41</v>
      </c>
      <c r="M30" s="18" t="s">
        <v>67</v>
      </c>
    </row>
    <row r="31" spans="1:43" ht="15.75" thickBot="1" x14ac:dyDescent="0.3">
      <c r="A31" s="11">
        <v>1</v>
      </c>
      <c r="B31" s="12" t="s">
        <v>7</v>
      </c>
      <c r="C31" s="17">
        <v>25728.2402</v>
      </c>
      <c r="D31" s="13">
        <f ca="1">OFFSET($U$3,(ROWS($U$4:U4)-1),-(ROWS($U$4:U4)-1),1,1)</f>
        <v>9349.6867120000006</v>
      </c>
      <c r="E31" s="14">
        <f ca="1">OFFSET($U$28,0,-(ROWS($I$30:I30)-1),1,1)</f>
        <v>1</v>
      </c>
      <c r="F31" s="17">
        <f ca="1">D31/E31-D31</f>
        <v>0</v>
      </c>
      <c r="G31" s="17">
        <f ca="1">F31+D31</f>
        <v>9349.6867120000006</v>
      </c>
      <c r="H31" s="14">
        <f ca="1">G31/C31</f>
        <v>0.36340171886299477</v>
      </c>
      <c r="I31" s="14">
        <f t="array" aca="1" ref="I31" ca="1">SUM($D$31:$D$50*$P$31^ABS(A31-$A$31:$A$50))/SUM($C$31:$C$50*$E$31:$E$50*$P$31^ABS(A31-$A$31:$A$50)*$M$31:$M$50)</f>
        <v>0.31073398166021432</v>
      </c>
      <c r="J31" s="19">
        <f ca="1">(1-E31)*I31*C31*M31</f>
        <v>0</v>
      </c>
      <c r="K31" s="13">
        <f ca="1">J31+D31</f>
        <v>9349.6867120000006</v>
      </c>
      <c r="L31" s="14">
        <f ca="1">K31/C31</f>
        <v>0.36340171886299477</v>
      </c>
      <c r="M31" s="66">
        <f>1.015^A31</f>
        <v>1.0149999999999999</v>
      </c>
      <c r="O31" s="25" t="s">
        <v>38</v>
      </c>
      <c r="P31" s="26">
        <v>0.8</v>
      </c>
    </row>
    <row r="32" spans="1:43" x14ac:dyDescent="0.25">
      <c r="A32" s="11">
        <f>A31+1</f>
        <v>2</v>
      </c>
      <c r="B32" s="12" t="s">
        <v>8</v>
      </c>
      <c r="C32" s="17">
        <v>25975.350200000001</v>
      </c>
      <c r="D32" s="13">
        <f ca="1">OFFSET($U$3,(ROWS($U$4:U5)-1),-(ROWS($U$4:U5)-1),1,1)</f>
        <v>5766.6765480000004</v>
      </c>
      <c r="E32" s="14">
        <f ca="1">OFFSET($U$28,0,-(ROWS($I$30:I31)-1),1,1)</f>
        <v>1.0041467566983007</v>
      </c>
      <c r="F32" s="17">
        <f t="shared" ref="F32:F50" ca="1" si="10">D32/E32-D32</f>
        <v>-23.814252690493049</v>
      </c>
      <c r="G32" s="17">
        <f t="shared" ref="G32:G50" ca="1" si="11">F32+D32</f>
        <v>5742.8622953095073</v>
      </c>
      <c r="H32" s="14">
        <f t="shared" ref="H32:H50" ca="1" si="12">G32/C32</f>
        <v>0.22108892665899485</v>
      </c>
      <c r="I32" s="14">
        <f t="array" aca="1" ref="I32" ca="1">SUM($D$31:$D$50*$P$31^ABS(A32-$A$31:$A$50))/SUM($C$31:$C$50*$E$31:$E$50*$P$31^ABS(A32-$A$31:$A$50)*$M$31:$M$50)</f>
        <v>0.30649655835188949</v>
      </c>
      <c r="J32" s="19">
        <f t="shared" ref="J32:J50" ca="1" si="13">(1-E32)*I32*C32*M32</f>
        <v>-34.011646216896906</v>
      </c>
      <c r="K32" s="13">
        <f t="shared" ref="K32:K50" ca="1" si="14">J32+D32</f>
        <v>5732.6649017831032</v>
      </c>
      <c r="L32" s="14">
        <f t="shared" ref="L32:L50" ca="1" si="15">K32/C32</f>
        <v>0.22069634702299809</v>
      </c>
      <c r="M32" s="66">
        <f>1.015^A32</f>
        <v>1.0302249999999997</v>
      </c>
    </row>
    <row r="33" spans="1:42" x14ac:dyDescent="0.25">
      <c r="A33" s="11">
        <f t="shared" ref="A33:A50" si="16">A32+1</f>
        <v>3</v>
      </c>
      <c r="B33" s="12" t="s">
        <v>9</v>
      </c>
      <c r="C33" s="17">
        <v>24954.4902</v>
      </c>
      <c r="D33" s="13">
        <f ca="1">OFFSET($U$3,(ROWS($U$4:U6)-1),-(ROWS($U$4:U6)-1),1,1)</f>
        <v>7820.8819219999996</v>
      </c>
      <c r="E33" s="14">
        <f ca="1">OFFSET($U$28,0,-(ROWS($I$30:I32)-1),1,1)</f>
        <v>1.0071115545583791</v>
      </c>
      <c r="F33" s="17">
        <f t="shared" ca="1" si="10"/>
        <v>-55.225886577512938</v>
      </c>
      <c r="G33" s="17">
        <f t="shared" ca="1" si="11"/>
        <v>7765.6560354224866</v>
      </c>
      <c r="H33" s="14">
        <f t="shared" ca="1" si="12"/>
        <v>0.31119273418066007</v>
      </c>
      <c r="I33" s="14">
        <f t="array" aca="1" ref="I33" ca="1">SUM($D$31:$D$50*$P$31^ABS(A33-$A$31:$A$50))/SUM($C$31:$C$50*$E$31:$E$50*$P$31^ABS(A33-$A$31:$A$50)*$M$31:$M$50)</f>
        <v>0.3108956250286497</v>
      </c>
      <c r="J33" s="19">
        <f t="shared" ca="1" si="13"/>
        <v>-57.693380331024478</v>
      </c>
      <c r="K33" s="13">
        <f t="shared" ca="1" si="14"/>
        <v>7763.1885416689747</v>
      </c>
      <c r="L33" s="14">
        <f t="shared" ca="1" si="15"/>
        <v>0.31109385443061366</v>
      </c>
      <c r="M33" s="66">
        <f t="shared" ref="M33:M50" si="17">1.015^A33</f>
        <v>1.0456783749999996</v>
      </c>
    </row>
    <row r="34" spans="1:42" x14ac:dyDescent="0.25">
      <c r="A34" s="11">
        <f t="shared" si="16"/>
        <v>4</v>
      </c>
      <c r="B34" s="12" t="s">
        <v>10</v>
      </c>
      <c r="C34" s="17">
        <v>24478.190200000001</v>
      </c>
      <c r="D34" s="13">
        <f ca="1">OFFSET($U$3,(ROWS($U$4:U7)-1),-(ROWS($U$4:U7)-1),1,1)</f>
        <v>6050.6862890000002</v>
      </c>
      <c r="E34" s="14">
        <f ca="1">OFFSET($U$28,0,-(ROWS($I$30:I33)-1),1,1)</f>
        <v>1.0057826093965341</v>
      </c>
      <c r="F34" s="17">
        <f t="shared" ca="1" si="10"/>
        <v>-34.787592331949782</v>
      </c>
      <c r="G34" s="17">
        <f t="shared" ca="1" si="11"/>
        <v>6015.8986966680504</v>
      </c>
      <c r="H34" s="14">
        <f t="shared" ca="1" si="12"/>
        <v>0.24576566517029719</v>
      </c>
      <c r="I34" s="14">
        <f t="array" aca="1" ref="I34" ca="1">SUM($D$31:$D$50*$P$31^ABS(A34-$A$31:$A$50))/SUM($C$31:$C$50*$E$31:$E$50*$P$31^ABS(A34-$A$31:$A$50)*$M$31:$M$50)</f>
        <v>0.31582152282275011</v>
      </c>
      <c r="J34" s="19">
        <f t="shared" ca="1" si="13"/>
        <v>-47.447032448332749</v>
      </c>
      <c r="K34" s="13">
        <f t="shared" ca="1" si="14"/>
        <v>6003.2392565516675</v>
      </c>
      <c r="L34" s="14">
        <f t="shared" ca="1" si="15"/>
        <v>0.24524849294420742</v>
      </c>
      <c r="M34" s="66">
        <f t="shared" si="17"/>
        <v>1.0613635506249994</v>
      </c>
    </row>
    <row r="35" spans="1:42" x14ac:dyDescent="0.25">
      <c r="A35" s="11">
        <f t="shared" si="16"/>
        <v>5</v>
      </c>
      <c r="B35" s="12" t="s">
        <v>11</v>
      </c>
      <c r="C35" s="17">
        <v>23899.440200000001</v>
      </c>
      <c r="D35" s="13">
        <f ca="1">OFFSET($U$3,(ROWS($U$4:U8)-1),-(ROWS($U$4:U8)-1),1,1)</f>
        <v>8508.0506409999998</v>
      </c>
      <c r="E35" s="14">
        <f ca="1">OFFSET($U$28,0,-(ROWS($I$30:I34)-1),1,1)</f>
        <v>0.97151595998189288</v>
      </c>
      <c r="F35" s="17">
        <f t="shared" ca="1" si="10"/>
        <v>249.44896936005352</v>
      </c>
      <c r="G35" s="17">
        <f t="shared" ca="1" si="11"/>
        <v>8757.4996103600533</v>
      </c>
      <c r="H35" s="14">
        <f t="shared" ca="1" si="12"/>
        <v>0.36643116060768877</v>
      </c>
      <c r="I35" s="14">
        <f t="array" aca="1" ref="I35" ca="1">SUM($D$31:$D$50*$P$31^ABS(A35-$A$31:$A$50))/SUM($C$31:$C$50*$E$31:$E$50*$P$31^ABS(A35-$A$31:$A$50)*$M$31:$M$50)</f>
        <v>0.32700494405314934</v>
      </c>
      <c r="J35" s="19">
        <f t="shared" ca="1" si="13"/>
        <v>239.81362060128262</v>
      </c>
      <c r="K35" s="13">
        <f t="shared" ca="1" si="14"/>
        <v>8747.8642616012821</v>
      </c>
      <c r="L35" s="14">
        <f t="shared" ca="1" si="15"/>
        <v>0.36602799849685524</v>
      </c>
      <c r="M35" s="66">
        <f t="shared" si="17"/>
        <v>1.0772840038843743</v>
      </c>
    </row>
    <row r="36" spans="1:42" x14ac:dyDescent="0.25">
      <c r="A36" s="11">
        <f t="shared" si="16"/>
        <v>6</v>
      </c>
      <c r="B36" s="12" t="s">
        <v>12</v>
      </c>
      <c r="C36" s="17">
        <v>21730.250199999999</v>
      </c>
      <c r="D36" s="13">
        <f ca="1">OFFSET($U$3,(ROWS($U$4:U9)-1),-(ROWS($U$4:U9)-1),1,1)</f>
        <v>6981.2221769999996</v>
      </c>
      <c r="E36" s="14">
        <f ca="1">OFFSET($U$28,0,-(ROWS($I$30:I35)-1),1,1)</f>
        <v>0.96421259688982441</v>
      </c>
      <c r="F36" s="17">
        <f t="shared" ca="1" si="10"/>
        <v>259.11278597259843</v>
      </c>
      <c r="G36" s="17">
        <f t="shared" ca="1" si="11"/>
        <v>7240.3349629725981</v>
      </c>
      <c r="H36" s="14">
        <f t="shared" ca="1" si="12"/>
        <v>0.33319151396483226</v>
      </c>
      <c r="I36" s="14">
        <f t="array" aca="1" ref="I36" ca="1">SUM($D$31:$D$50*$P$31^ABS(A36-$A$31:$A$50))/SUM($C$31:$C$50*$E$31:$E$50*$P$31^ABS(A36-$A$31:$A$50)*$M$31:$M$50)</f>
        <v>0.33713565078970098</v>
      </c>
      <c r="J36" s="19">
        <f t="shared" ca="1" si="13"/>
        <v>286.67897658512112</v>
      </c>
      <c r="K36" s="13">
        <f t="shared" ca="1" si="14"/>
        <v>7267.9011535851205</v>
      </c>
      <c r="L36" s="14">
        <f t="shared" ca="1" si="15"/>
        <v>0.33446007692930846</v>
      </c>
      <c r="M36" s="66">
        <f t="shared" si="17"/>
        <v>1.0934432639426397</v>
      </c>
    </row>
    <row r="37" spans="1:42" x14ac:dyDescent="0.25">
      <c r="A37" s="11">
        <f t="shared" si="16"/>
        <v>7</v>
      </c>
      <c r="B37" s="12" t="s">
        <v>13</v>
      </c>
      <c r="C37" s="17">
        <v>15231.760200000001</v>
      </c>
      <c r="D37" s="13">
        <f ca="1">OFFSET($U$3,(ROWS($U$4:U10)-1),-(ROWS($U$4:U10)-1),1,1)</f>
        <v>7503.6233940000002</v>
      </c>
      <c r="E37" s="14">
        <f ca="1">OFFSET($U$28,0,-(ROWS($I$30:I36)-1),1,1)</f>
        <v>0.98053700810412991</v>
      </c>
      <c r="F37" s="17">
        <f t="shared" ca="1" si="10"/>
        <v>148.94181463834593</v>
      </c>
      <c r="G37" s="17">
        <f t="shared" ca="1" si="11"/>
        <v>7652.5652086383461</v>
      </c>
      <c r="H37" s="14">
        <f t="shared" ca="1" si="12"/>
        <v>0.50240846154066587</v>
      </c>
      <c r="I37" s="14">
        <f t="array" aca="1" ref="I37" ca="1">SUM($D$31:$D$50*$P$31^ABS(A37-$A$31:$A$50))/SUM($C$31:$C$50*$E$31:$E$50*$P$31^ABS(A37-$A$31:$A$50)*$M$31:$M$50)</f>
        <v>0.34994948085779143</v>
      </c>
      <c r="J37" s="19">
        <f t="shared" ca="1" si="13"/>
        <v>115.14029689027949</v>
      </c>
      <c r="K37" s="13">
        <f t="shared" ca="1" si="14"/>
        <v>7618.7636908902796</v>
      </c>
      <c r="L37" s="14">
        <f t="shared" ca="1" si="15"/>
        <v>0.50018931435713376</v>
      </c>
      <c r="M37" s="66">
        <f t="shared" si="17"/>
        <v>1.1098449129017791</v>
      </c>
    </row>
    <row r="38" spans="1:42" x14ac:dyDescent="0.25">
      <c r="A38" s="11">
        <f t="shared" si="16"/>
        <v>8</v>
      </c>
      <c r="B38" s="12" t="s">
        <v>14</v>
      </c>
      <c r="C38" s="17">
        <v>11990.020200000001</v>
      </c>
      <c r="D38" s="13">
        <f ca="1">OFFSET($U$3,(ROWS($U$4:U11)-1),-(ROWS($U$4:U11)-1),1,1)</f>
        <v>8644.1149060000007</v>
      </c>
      <c r="E38" s="14">
        <f ca="1">OFFSET($U$28,0,-(ROWS($I$30:I37)-1),1,1)</f>
        <v>0.99858412650505535</v>
      </c>
      <c r="F38" s="17">
        <f t="shared" ca="1" si="10"/>
        <v>12.256326590626486</v>
      </c>
      <c r="G38" s="17">
        <f t="shared" ca="1" si="11"/>
        <v>8656.3712325906272</v>
      </c>
      <c r="H38" s="14">
        <f t="shared" ca="1" si="12"/>
        <v>0.72196469131808694</v>
      </c>
      <c r="I38" s="14">
        <f t="array" aca="1" ref="I38" ca="1">SUM($D$31:$D$50*$P$31^ABS(A38-$A$31:$A$50))/SUM($C$31:$C$50*$E$31:$E$50*$P$31^ABS(A38-$A$31:$A$50)*$M$31:$M$50)</f>
        <v>0.35812125020918062</v>
      </c>
      <c r="J38" s="19">
        <f t="shared" ca="1" si="13"/>
        <v>6.8486156919799246</v>
      </c>
      <c r="K38" s="13">
        <f t="shared" ca="1" si="14"/>
        <v>8650.9635216919814</v>
      </c>
      <c r="L38" s="14">
        <f t="shared" ca="1" si="15"/>
        <v>0.7215136736543597</v>
      </c>
      <c r="M38" s="66">
        <f t="shared" si="17"/>
        <v>1.1264925865953057</v>
      </c>
      <c r="T38" s="51" t="s">
        <v>46</v>
      </c>
      <c r="U38" s="51" t="s">
        <v>52</v>
      </c>
      <c r="V38" s="50" t="str">
        <f t="array" ref="V38:AO38">TRANSPOSE(B31:B51)</f>
        <v>201003</v>
      </c>
      <c r="W38" s="50" t="str">
        <v>201006</v>
      </c>
      <c r="X38" s="50" t="str">
        <v>201009</v>
      </c>
      <c r="Y38" s="50" t="str">
        <v>201012</v>
      </c>
      <c r="Z38" s="50" t="str">
        <v>201103</v>
      </c>
      <c r="AA38" s="50" t="str">
        <v>201106</v>
      </c>
      <c r="AB38" s="50" t="str">
        <v>201109</v>
      </c>
      <c r="AC38" s="50" t="str">
        <v>201112</v>
      </c>
      <c r="AD38" s="50" t="str">
        <v>201203</v>
      </c>
      <c r="AE38" s="50" t="str">
        <v>201206</v>
      </c>
      <c r="AF38" s="50" t="str">
        <v>201209</v>
      </c>
      <c r="AG38" s="50" t="str">
        <v>201212</v>
      </c>
      <c r="AH38" s="50" t="str">
        <v>201303</v>
      </c>
      <c r="AI38" s="50" t="str">
        <v>201306</v>
      </c>
      <c r="AJ38" s="50" t="str">
        <v>201309</v>
      </c>
      <c r="AK38" s="50" t="str">
        <v>201312</v>
      </c>
      <c r="AL38" s="50" t="str">
        <v>201403</v>
      </c>
      <c r="AM38" s="50" t="str">
        <v>201406</v>
      </c>
      <c r="AN38" s="50" t="str">
        <v>201409</v>
      </c>
      <c r="AO38" s="50" t="str">
        <v>201412</v>
      </c>
      <c r="AP38" s="50" t="s">
        <v>57</v>
      </c>
    </row>
    <row r="39" spans="1:42" x14ac:dyDescent="0.25">
      <c r="A39" s="11">
        <f t="shared" si="16"/>
        <v>9</v>
      </c>
      <c r="B39" s="12" t="s">
        <v>15</v>
      </c>
      <c r="C39" s="17">
        <v>11731.1402</v>
      </c>
      <c r="D39" s="13">
        <f ca="1">OFFSET($U$3,(ROWS($U$4:U12)-1),-(ROWS($U$4:U12)-1),1,1)</f>
        <v>2082.8039800000001</v>
      </c>
      <c r="E39" s="14">
        <f ca="1">OFFSET($U$28,0,-(ROWS($I$30:I38)-1),1,1)</f>
        <v>0.95023848981883741</v>
      </c>
      <c r="F39" s="17">
        <f t="shared" ca="1" si="10"/>
        <v>109.07100961138258</v>
      </c>
      <c r="G39" s="17">
        <f t="shared" ca="1" si="11"/>
        <v>2191.8749896113827</v>
      </c>
      <c r="H39" s="14">
        <f t="shared" ca="1" si="12"/>
        <v>0.18684245113798767</v>
      </c>
      <c r="I39" s="14">
        <f t="array" aca="1" ref="I39" ca="1">SUM($D$31:$D$50*$P$31^ABS(A39-$A$31:$A$50))/SUM($C$31:$C$50*$E$31:$E$50*$P$31^ABS(A39-$A$31:$A$50)*$M$31:$M$50)</f>
        <v>0.35431398699532718</v>
      </c>
      <c r="J39" s="19">
        <f t="shared" ca="1" si="13"/>
        <v>236.49200014795909</v>
      </c>
      <c r="K39" s="13">
        <f t="shared" ca="1" si="14"/>
        <v>2319.2959801479592</v>
      </c>
      <c r="L39" s="14">
        <f t="shared" ca="1" si="15"/>
        <v>0.19770422487559727</v>
      </c>
      <c r="M39" s="66">
        <f t="shared" si="17"/>
        <v>1.1433899753942351</v>
      </c>
      <c r="S39" s="4">
        <v>1E-4</v>
      </c>
      <c r="T39" s="53">
        <v>5160.8488283432116</v>
      </c>
      <c r="U39" s="53">
        <v>-6368.6523338985608</v>
      </c>
      <c r="V39" s="14">
        <v>0.36750314098335873</v>
      </c>
      <c r="W39" s="14">
        <v>0.22360616338896205</v>
      </c>
      <c r="X39" s="14">
        <v>0.31213611634502886</v>
      </c>
      <c r="Y39" s="14">
        <v>0.24019259388891381</v>
      </c>
      <c r="Z39" s="14">
        <v>0.36228628988442541</v>
      </c>
      <c r="AA39" s="14">
        <v>0.33400362553051194</v>
      </c>
      <c r="AB39" s="14">
        <v>0.58286298468722042</v>
      </c>
      <c r="AC39" s="14">
        <v>0.78304365440260337</v>
      </c>
      <c r="AD39" s="14">
        <v>0.21387225977326094</v>
      </c>
      <c r="AE39" s="14">
        <v>0.4317747025765129</v>
      </c>
      <c r="AF39" s="14">
        <v>0.57158470257344074</v>
      </c>
      <c r="AG39" s="14">
        <v>0.3902920081437265</v>
      </c>
      <c r="AH39" s="14">
        <v>0.348099049501365</v>
      </c>
      <c r="AI39" s="14">
        <v>0.80457034590996035</v>
      </c>
      <c r="AJ39" s="14">
        <v>0.30150212860519926</v>
      </c>
      <c r="AK39" s="14">
        <v>0.47881924041994733</v>
      </c>
      <c r="AL39" s="14">
        <v>0.32234729294835096</v>
      </c>
      <c r="AM39" s="14">
        <v>0.61952822451029355</v>
      </c>
      <c r="AN39" s="14">
        <v>0.39022383843740582</v>
      </c>
      <c r="AO39" s="14">
        <v>0.31527530096537953</v>
      </c>
      <c r="AP39" s="52">
        <v>2.7504915927204946E-2</v>
      </c>
    </row>
    <row r="40" spans="1:42" x14ac:dyDescent="0.25">
      <c r="A40" s="11">
        <f t="shared" si="16"/>
        <v>10</v>
      </c>
      <c r="B40" s="12" t="s">
        <v>16</v>
      </c>
      <c r="C40" s="17">
        <v>11502.870199999999</v>
      </c>
      <c r="D40" s="13">
        <f ca="1">OFFSET($U$3,(ROWS($U$4:U13)-1),-(ROWS($U$4:U13)-1),1,1)</f>
        <v>4600.6671729999998</v>
      </c>
      <c r="E40" s="14">
        <f ca="1">OFFSET($U$28,0,-(ROWS($I$30:I39)-1),1,1)</f>
        <v>0.92285208481001901</v>
      </c>
      <c r="F40" s="17">
        <f t="shared" ca="1" si="10"/>
        <v>384.60321726747861</v>
      </c>
      <c r="G40" s="17">
        <f t="shared" ca="1" si="11"/>
        <v>4985.2703902674784</v>
      </c>
      <c r="H40" s="14">
        <f t="shared" ca="1" si="12"/>
        <v>0.43339360556006956</v>
      </c>
      <c r="I40" s="14">
        <f t="array" aca="1" ref="I40" ca="1">SUM($D$31:$D$50*$P$31^ABS(A40-$A$31:$A$50))/SUM($C$31:$C$50*$E$31:$E$50*$P$31^ABS(A40-$A$31:$A$50)*$M$31:$M$50)</f>
        <v>0.35841519642682135</v>
      </c>
      <c r="J40" s="19">
        <f t="shared" ca="1" si="13"/>
        <v>369.12822221917435</v>
      </c>
      <c r="K40" s="13">
        <f t="shared" ca="1" si="14"/>
        <v>4969.7953952191738</v>
      </c>
      <c r="L40" s="14">
        <f t="shared" ca="1" si="15"/>
        <v>0.43204828958420954</v>
      </c>
      <c r="M40" s="66">
        <f t="shared" si="17"/>
        <v>1.1605408250251485</v>
      </c>
      <c r="S40" s="48">
        <v>0.05</v>
      </c>
      <c r="T40" s="53">
        <v>5062.6542557870207</v>
      </c>
      <c r="U40" s="53">
        <v>-6194.228839743103</v>
      </c>
      <c r="V40" s="14">
        <v>0.36047527381157379</v>
      </c>
      <c r="W40" s="14">
        <v>0.23399583315805386</v>
      </c>
      <c r="X40" s="14">
        <v>0.30504130816220171</v>
      </c>
      <c r="Y40" s="14">
        <v>0.24905765454578085</v>
      </c>
      <c r="Z40" s="14">
        <v>0.35566824463385249</v>
      </c>
      <c r="AA40" s="14">
        <v>0.34366082527367964</v>
      </c>
      <c r="AB40" s="14">
        <v>0.57250806989411918</v>
      </c>
      <c r="AC40" s="14">
        <v>0.74395596319788448</v>
      </c>
      <c r="AD40" s="14">
        <v>0.25086576101316815</v>
      </c>
      <c r="AE40" s="14">
        <v>0.42910872350083651</v>
      </c>
      <c r="AF40" s="14">
        <v>0.55613168789201173</v>
      </c>
      <c r="AG40" s="14">
        <v>0.39713575054652889</v>
      </c>
      <c r="AH40" s="14">
        <v>0.3701816227570594</v>
      </c>
      <c r="AI40" s="14">
        <v>0.75404719148352961</v>
      </c>
      <c r="AJ40" s="14">
        <v>0.3280763724453164</v>
      </c>
      <c r="AK40" s="14">
        <v>0.46413285312538366</v>
      </c>
      <c r="AL40" s="14">
        <v>0.3431950540702417</v>
      </c>
      <c r="AM40" s="14">
        <v>0.59536143764388749</v>
      </c>
      <c r="AN40" s="14">
        <v>0.39777554534042125</v>
      </c>
      <c r="AO40" s="14">
        <v>0.32017356890349069</v>
      </c>
      <c r="AP40" s="52">
        <v>2.3493272354011979E-2</v>
      </c>
    </row>
    <row r="41" spans="1:42" x14ac:dyDescent="0.25">
      <c r="A41" s="11">
        <f t="shared" si="16"/>
        <v>11</v>
      </c>
      <c r="B41" s="12" t="s">
        <v>17</v>
      </c>
      <c r="C41" s="17">
        <v>13316.540199999999</v>
      </c>
      <c r="D41" s="13">
        <f ca="1">OFFSET($U$3,(ROWS($U$4:U14)-1),-(ROWS($U$4:U14)-1),1,1)</f>
        <v>6825.708533</v>
      </c>
      <c r="E41" s="14">
        <f ca="1">OFFSET($U$28,0,-(ROWS($I$30:I40)-1),1,1)</f>
        <v>0.8949071699447283</v>
      </c>
      <c r="F41" s="17">
        <f t="shared" ca="1" si="10"/>
        <v>801.57255518434522</v>
      </c>
      <c r="G41" s="17">
        <f t="shared" ca="1" si="11"/>
        <v>7627.2810881843452</v>
      </c>
      <c r="H41" s="14">
        <f t="shared" ca="1" si="12"/>
        <v>0.57276747365538272</v>
      </c>
      <c r="I41" s="14">
        <f t="array" aca="1" ref="I41" ca="1">SUM($D$31:$D$50*$P$31^ABS(A41-$A$31:$A$50))/SUM($C$31:$C$50*$E$31:$E$50*$P$31^ABS(A41-$A$31:$A$50)*$M$31:$M$50)</f>
        <v>0.36199565271471185</v>
      </c>
      <c r="J41" s="19">
        <f t="shared" ca="1" si="13"/>
        <v>596.75258863311478</v>
      </c>
      <c r="K41" s="13">
        <f t="shared" ca="1" si="14"/>
        <v>7422.461121633115</v>
      </c>
      <c r="L41" s="14">
        <f t="shared" ca="1" si="15"/>
        <v>0.55738660418966146</v>
      </c>
      <c r="M41" s="66">
        <f t="shared" si="17"/>
        <v>1.1779489374005256</v>
      </c>
      <c r="S41" s="49">
        <f>S40+5%</f>
        <v>0.1</v>
      </c>
      <c r="T41" s="53">
        <v>4965.1972309942366</v>
      </c>
      <c r="U41" s="53">
        <v>-6026.1555979583018</v>
      </c>
      <c r="V41" s="14">
        <v>0.35385146865373718</v>
      </c>
      <c r="W41" s="14">
        <v>0.24273534680768818</v>
      </c>
      <c r="X41" s="14">
        <v>0.29974114771169214</v>
      </c>
      <c r="Y41" s="14">
        <v>0.25674473292819311</v>
      </c>
      <c r="Z41" s="14">
        <v>0.35060432055913199</v>
      </c>
      <c r="AA41" s="14">
        <v>0.35214876857983002</v>
      </c>
      <c r="AB41" s="14">
        <v>0.56126033391943819</v>
      </c>
      <c r="AC41" s="14">
        <v>0.70797777872520873</v>
      </c>
      <c r="AD41" s="14">
        <v>0.28455318366433408</v>
      </c>
      <c r="AE41" s="14">
        <v>0.42838765337438806</v>
      </c>
      <c r="AF41" s="14">
        <v>0.5413730927192606</v>
      </c>
      <c r="AG41" s="14">
        <v>0.40442973377130309</v>
      </c>
      <c r="AH41" s="14">
        <v>0.38894111489090338</v>
      </c>
      <c r="AI41" s="14">
        <v>0.71041224212492171</v>
      </c>
      <c r="AJ41" s="14">
        <v>0.35061443567138378</v>
      </c>
      <c r="AK41" s="14">
        <v>0.45388799923301815</v>
      </c>
      <c r="AL41" s="14">
        <v>0.3605243341545859</v>
      </c>
      <c r="AM41" s="14">
        <v>0.57380676270585595</v>
      </c>
      <c r="AN41" s="14">
        <v>0.40381381231479035</v>
      </c>
      <c r="AO41" s="14">
        <v>0.32609880073293873</v>
      </c>
      <c r="AP41" s="52">
        <v>2.0115953965932156E-2</v>
      </c>
    </row>
    <row r="42" spans="1:42" x14ac:dyDescent="0.25">
      <c r="A42" s="11">
        <f t="shared" si="16"/>
        <v>12</v>
      </c>
      <c r="B42" s="12" t="s">
        <v>18</v>
      </c>
      <c r="C42" s="17">
        <v>14269.7402</v>
      </c>
      <c r="D42" s="13">
        <f ca="1">OFFSET($U$3,(ROWS($U$4:U15)-1),-(ROWS($U$4:U15)-1),1,1)</f>
        <v>5107.3856580000001</v>
      </c>
      <c r="E42" s="14">
        <f ca="1">OFFSET($U$28,0,-(ROWS($I$30:I41)-1),1,1)</f>
        <v>0.90142158816824269</v>
      </c>
      <c r="F42" s="17">
        <f t="shared" ca="1" si="10"/>
        <v>558.53772905643473</v>
      </c>
      <c r="G42" s="17">
        <f t="shared" ca="1" si="11"/>
        <v>5665.9233870564349</v>
      </c>
      <c r="H42" s="14">
        <f t="shared" ca="1" si="12"/>
        <v>0.39705862248679447</v>
      </c>
      <c r="I42" s="14">
        <f t="array" aca="1" ref="I42" ca="1">SUM($D$31:$D$50*$P$31^ABS(A42-$A$31:$A$50))/SUM($C$31:$C$50*$E$31:$E$50*$P$31^ABS(A42-$A$31:$A$50)*$M$31:$M$50)</f>
        <v>0.35976952402520801</v>
      </c>
      <c r="J42" s="19">
        <f t="shared" ca="1" si="13"/>
        <v>605.08273595306844</v>
      </c>
      <c r="K42" s="13">
        <f t="shared" ca="1" si="14"/>
        <v>5712.4683939530687</v>
      </c>
      <c r="L42" s="14">
        <f t="shared" ca="1" si="15"/>
        <v>0.40032042026617054</v>
      </c>
      <c r="M42" s="66">
        <f t="shared" si="17"/>
        <v>1.1956181714615333</v>
      </c>
      <c r="S42" s="49">
        <f t="shared" ref="S42:S57" si="18">S41+5%</f>
        <v>0.15000000000000002</v>
      </c>
      <c r="T42" s="53">
        <v>4870.3466378937683</v>
      </c>
      <c r="U42" s="53">
        <v>-5867.8041873242337</v>
      </c>
      <c r="V42" s="14">
        <v>0.34761722212797558</v>
      </c>
      <c r="W42" s="14">
        <v>0.25017403808873001</v>
      </c>
      <c r="X42" s="14">
        <v>0.29596091056112511</v>
      </c>
      <c r="Y42" s="14">
        <v>0.26356465843055737</v>
      </c>
      <c r="Z42" s="14">
        <v>0.3468724170266273</v>
      </c>
      <c r="AA42" s="14">
        <v>0.35944464241197882</v>
      </c>
      <c r="AB42" s="14">
        <v>0.54931731153836449</v>
      </c>
      <c r="AC42" s="14">
        <v>0.67487610262725439</v>
      </c>
      <c r="AD42" s="14">
        <v>0.31478989880273073</v>
      </c>
      <c r="AE42" s="14">
        <v>0.42918096208032308</v>
      </c>
      <c r="AF42" s="14">
        <v>0.52780047304218891</v>
      </c>
      <c r="AG42" s="14">
        <v>0.41175992797829725</v>
      </c>
      <c r="AH42" s="14">
        <v>0.4047087418404593</v>
      </c>
      <c r="AI42" s="14">
        <v>0.67262125786040772</v>
      </c>
      <c r="AJ42" s="14">
        <v>0.36966359533642201</v>
      </c>
      <c r="AK42" s="14">
        <v>0.44708078079911634</v>
      </c>
      <c r="AL42" s="14">
        <v>0.3749401717236393</v>
      </c>
      <c r="AM42" s="14">
        <v>0.55460675276271709</v>
      </c>
      <c r="AN42" s="14">
        <v>0.40863445946292165</v>
      </c>
      <c r="AO42" s="14">
        <v>0.33279469178615534</v>
      </c>
      <c r="AP42" s="52">
        <v>1.7291771650614136E-2</v>
      </c>
    </row>
    <row r="43" spans="1:42" x14ac:dyDescent="0.25">
      <c r="A43" s="11">
        <f t="shared" si="16"/>
        <v>13</v>
      </c>
      <c r="B43" s="12" t="s">
        <v>19</v>
      </c>
      <c r="C43" s="17">
        <v>15193.120199999999</v>
      </c>
      <c r="D43" s="13">
        <f ca="1">OFFSET($U$3,(ROWS($U$4:U16)-1),-(ROWS($U$4:U16)-1),1,1)</f>
        <v>4847.1499620000004</v>
      </c>
      <c r="E43" s="14">
        <f ca="1">OFFSET($U$28,0,-(ROWS($I$30:I42)-1),1,1)</f>
        <v>0.87490784428546942</v>
      </c>
      <c r="F43" s="17">
        <f t="shared" ca="1" si="10"/>
        <v>693.03349121687097</v>
      </c>
      <c r="G43" s="17">
        <f t="shared" ca="1" si="11"/>
        <v>5540.1834532168714</v>
      </c>
      <c r="H43" s="14">
        <f t="shared" ca="1" si="12"/>
        <v>0.36465080117097154</v>
      </c>
      <c r="I43" s="14">
        <f t="array" aca="1" ref="I43" ca="1">SUM($D$31:$D$50*$P$31^ABS(A43-$A$31:$A$50))/SUM($C$31:$C$50*$E$31:$E$50*$P$31^ABS(A43-$A$31:$A$50)*$M$31:$M$50)</f>
        <v>0.35895650614429592</v>
      </c>
      <c r="J43" s="19">
        <f t="shared" ca="1" si="13"/>
        <v>827.8991356679694</v>
      </c>
      <c r="K43" s="13">
        <f t="shared" ca="1" si="14"/>
        <v>5675.0490976679703</v>
      </c>
      <c r="L43" s="14">
        <f t="shared" ca="1" si="15"/>
        <v>0.3735275587214778</v>
      </c>
      <c r="M43" s="66">
        <f t="shared" si="17"/>
        <v>1.2135524440334562</v>
      </c>
      <c r="S43" s="49">
        <f t="shared" si="18"/>
        <v>0.2</v>
      </c>
      <c r="T43" s="53">
        <v>4779.3566432508087</v>
      </c>
      <c r="U43" s="53">
        <v>-5721.0541877766482</v>
      </c>
      <c r="V43" s="14">
        <v>0.34176249287454813</v>
      </c>
      <c r="W43" s="14">
        <v>0.25660543882866044</v>
      </c>
      <c r="X43" s="14">
        <v>0.29347376379870366</v>
      </c>
      <c r="Y43" s="14">
        <v>0.26978042921037465</v>
      </c>
      <c r="Z43" s="14">
        <v>0.3442683209887909</v>
      </c>
      <c r="AA43" s="14">
        <v>0.36555882972776277</v>
      </c>
      <c r="AB43" s="14">
        <v>0.53683887069527414</v>
      </c>
      <c r="AC43" s="14">
        <v>0.64434925389450115</v>
      </c>
      <c r="AD43" s="14">
        <v>0.34152287408479826</v>
      </c>
      <c r="AE43" s="14">
        <v>0.43111223373245905</v>
      </c>
      <c r="AF43" s="14">
        <v>0.51569019428441754</v>
      </c>
      <c r="AG43" s="14">
        <v>0.4188585176035447</v>
      </c>
      <c r="AH43" s="14">
        <v>0.41781733911965335</v>
      </c>
      <c r="AI43" s="14">
        <v>0.63977646310888225</v>
      </c>
      <c r="AJ43" s="14">
        <v>0.38573193557608015</v>
      </c>
      <c r="AK43" s="14">
        <v>0.44287661288917685</v>
      </c>
      <c r="AL43" s="14">
        <v>0.38696423450385037</v>
      </c>
      <c r="AM43" s="14">
        <v>0.53751421389593046</v>
      </c>
      <c r="AN43" s="14">
        <v>0.41248038912888335</v>
      </c>
      <c r="AO43" s="14">
        <v>0.34004116463228207</v>
      </c>
      <c r="AP43" s="52">
        <v>1.4933318368433014E-2</v>
      </c>
    </row>
    <row r="44" spans="1:42" x14ac:dyDescent="0.25">
      <c r="A44" s="11">
        <f t="shared" si="16"/>
        <v>14</v>
      </c>
      <c r="B44" s="12" t="s">
        <v>20</v>
      </c>
      <c r="C44" s="17">
        <v>15076.780199999999</v>
      </c>
      <c r="D44" s="13">
        <f ca="1">OFFSET($U$3,(ROWS($U$4:U17)-1),-(ROWS($U$4:U17)-1),1,1)</f>
        <v>10125.441360000001</v>
      </c>
      <c r="E44" s="14">
        <f ca="1">OFFSET($U$28,0,-(ROWS($I$30:I43)-1),1,1)</f>
        <v>0.86127739440042028</v>
      </c>
      <c r="F44" s="17">
        <f t="shared" ca="1" si="10"/>
        <v>1630.86552304416</v>
      </c>
      <c r="G44" s="17">
        <f t="shared" ca="1" si="11"/>
        <v>11756.306883044161</v>
      </c>
      <c r="H44" s="14">
        <f t="shared" ca="1" si="12"/>
        <v>0.77976243780778609</v>
      </c>
      <c r="I44" s="14">
        <f t="array" aca="1" ref="I44" ca="1">SUM($D$31:$D$50*$P$31^ABS(A44-$A$31:$A$50))/SUM($C$31:$C$50*$E$31:$E$50*$P$31^ABS(A44-$A$31:$A$50)*$M$31:$M$50)</f>
        <v>0.3613435666661674</v>
      </c>
      <c r="J44" s="19">
        <f t="shared" ca="1" si="13"/>
        <v>930.89513231502303</v>
      </c>
      <c r="K44" s="13">
        <f t="shared" ca="1" si="14"/>
        <v>11056.336492315024</v>
      </c>
      <c r="L44" s="14">
        <f t="shared" ca="1" si="15"/>
        <v>0.73333539029208794</v>
      </c>
      <c r="M44" s="66">
        <f t="shared" si="17"/>
        <v>1.2317557306939577</v>
      </c>
      <c r="S44" s="49">
        <f t="shared" si="18"/>
        <v>0.25</v>
      </c>
      <c r="T44" s="53">
        <v>4693.0527077297884</v>
      </c>
      <c r="U44" s="53">
        <v>-5586.7377734342272</v>
      </c>
      <c r="V44" s="14">
        <v>0.3362985560494281</v>
      </c>
      <c r="W44" s="14">
        <v>0.26227223042843018</v>
      </c>
      <c r="X44" s="14">
        <v>0.2921075843629321</v>
      </c>
      <c r="Y44" s="14">
        <v>0.27559962759101403</v>
      </c>
      <c r="Z44" s="14">
        <v>0.34261643427095267</v>
      </c>
      <c r="AA44" s="14">
        <v>0.37051915537893743</v>
      </c>
      <c r="AB44" s="14">
        <v>0.52397133562446785</v>
      </c>
      <c r="AC44" s="14">
        <v>0.61611645186710307</v>
      </c>
      <c r="AD44" s="14">
        <v>0.3647198025137684</v>
      </c>
      <c r="AE44" s="14">
        <v>0.43383249588484474</v>
      </c>
      <c r="AF44" s="14">
        <v>0.50516417884333797</v>
      </c>
      <c r="AG44" s="14">
        <v>0.42555025946601993</v>
      </c>
      <c r="AH44" s="14">
        <v>0.42856963193284897</v>
      </c>
      <c r="AI44" s="14">
        <v>0.61116562146596309</v>
      </c>
      <c r="AJ44" s="14">
        <v>0.39924294820390915</v>
      </c>
      <c r="AK44" s="14">
        <v>0.44060258158767257</v>
      </c>
      <c r="AL44" s="14">
        <v>0.39701690457199712</v>
      </c>
      <c r="AM44" s="14">
        <v>0.52232836392936299</v>
      </c>
      <c r="AN44" s="14">
        <v>0.41554980301749145</v>
      </c>
      <c r="AO44" s="14">
        <v>0.34764612459689503</v>
      </c>
      <c r="AP44" s="52">
        <v>1.295966071182543E-2</v>
      </c>
    </row>
    <row r="45" spans="1:42" x14ac:dyDescent="0.25">
      <c r="A45" s="11">
        <f t="shared" si="16"/>
        <v>15</v>
      </c>
      <c r="B45" s="12" t="s">
        <v>21</v>
      </c>
      <c r="C45" s="17">
        <v>18804.480200000002</v>
      </c>
      <c r="D45" s="13">
        <f ca="1">OFFSET($U$3,(ROWS($U$4:U18)-1),-(ROWS($U$4:U18)-1),1,1)</f>
        <v>4755.1345259999998</v>
      </c>
      <c r="E45" s="14">
        <f ca="1">OFFSET($U$28,0,-(ROWS($I$30:I44)-1),1,1)</f>
        <v>0.85683424339644976</v>
      </c>
      <c r="F45" s="17">
        <f t="shared" ca="1" si="10"/>
        <v>794.52057082581723</v>
      </c>
      <c r="G45" s="17">
        <f t="shared" ca="1" si="11"/>
        <v>5549.6550968258171</v>
      </c>
      <c r="H45" s="14">
        <f t="shared" ca="1" si="12"/>
        <v>0.29512408946171331</v>
      </c>
      <c r="I45" s="14">
        <f t="array" aca="1" ref="I45" ca="1">SUM($D$31:$D$50*$P$31^ABS(A45-$A$31:$A$50))/SUM($C$31:$C$50*$E$31:$E$50*$P$31^ABS(A45-$A$31:$A$50)*$M$31:$M$50)</f>
        <v>0.34876646417401386</v>
      </c>
      <c r="J45" s="19">
        <f t="shared" ca="1" si="13"/>
        <v>1173.8857697001617</v>
      </c>
      <c r="K45" s="13">
        <f t="shared" ca="1" si="14"/>
        <v>5929.020295700162</v>
      </c>
      <c r="L45" s="14">
        <f t="shared" ca="1" si="15"/>
        <v>0.31529828172012758</v>
      </c>
      <c r="M45" s="66">
        <f t="shared" si="17"/>
        <v>1.2502320666543669</v>
      </c>
      <c r="S45" s="49">
        <f t="shared" si="18"/>
        <v>0.3</v>
      </c>
      <c r="T45" s="53">
        <v>4611.8411679711016</v>
      </c>
      <c r="U45" s="53">
        <v>-5464.7504162424075</v>
      </c>
      <c r="V45" s="14">
        <v>0.33126095821608598</v>
      </c>
      <c r="W45" s="14">
        <v>0.26738517417391749</v>
      </c>
      <c r="X45" s="14">
        <v>0.2917358438665395</v>
      </c>
      <c r="Y45" s="14">
        <v>0.2811849151756145</v>
      </c>
      <c r="Z45" s="14">
        <v>0.34176728121849359</v>
      </c>
      <c r="AA45" s="14">
        <v>0.37437486728447045</v>
      </c>
      <c r="AB45" s="14">
        <v>0.51085492200183191</v>
      </c>
      <c r="AC45" s="14">
        <v>0.58992648872326803</v>
      </c>
      <c r="AD45" s="14">
        <v>0.38437349132925253</v>
      </c>
      <c r="AE45" s="14">
        <v>0.43699679947630171</v>
      </c>
      <c r="AF45" s="14">
        <v>0.49621165742334755</v>
      </c>
      <c r="AG45" s="14">
        <v>0.43171841128503408</v>
      </c>
      <c r="AH45" s="14">
        <v>0.43724499960670737</v>
      </c>
      <c r="AI45" s="14">
        <v>0.58621364030816581</v>
      </c>
      <c r="AJ45" s="14">
        <v>0.41054832200702651</v>
      </c>
      <c r="AK45" s="14">
        <v>0.43971672804118794</v>
      </c>
      <c r="AL45" s="14">
        <v>0.40543876158578385</v>
      </c>
      <c r="AM45" s="14">
        <v>0.50888340107208896</v>
      </c>
      <c r="AN45" s="14">
        <v>0.41801219403718076</v>
      </c>
      <c r="AO45" s="14">
        <v>0.35544687028797117</v>
      </c>
      <c r="AP45" s="52">
        <v>1.1299159043977151E-2</v>
      </c>
    </row>
    <row r="46" spans="1:42" x14ac:dyDescent="0.25">
      <c r="A46" s="11">
        <f t="shared" si="16"/>
        <v>16</v>
      </c>
      <c r="B46" s="12" t="s">
        <v>22</v>
      </c>
      <c r="C46" s="17">
        <v>17929.950199999999</v>
      </c>
      <c r="D46" s="13">
        <f ca="1">OFFSET($U$3,(ROWS($U$4:U19)-1),-(ROWS($U$4:U19)-1),1,1)</f>
        <v>7419.1993769999999</v>
      </c>
      <c r="E46" s="14">
        <f ca="1">OFFSET($U$28,0,-(ROWS($I$30:I45)-1),1,1)</f>
        <v>0.83576461545163616</v>
      </c>
      <c r="F46" s="17">
        <f t="shared" ca="1" si="10"/>
        <v>1457.9404777314221</v>
      </c>
      <c r="G46" s="17">
        <f t="shared" ca="1" si="11"/>
        <v>8877.139854731422</v>
      </c>
      <c r="H46" s="14">
        <f t="shared" ca="1" si="12"/>
        <v>0.49510119970837524</v>
      </c>
      <c r="I46" s="14">
        <f t="array" aca="1" ref="I46" ca="1">SUM($D$31:$D$50*$P$31^ABS(A46-$A$31:$A$50))/SUM($C$31:$C$50*$E$31:$E$50*$P$31^ABS(A46-$A$31:$A$50)*$M$31:$M$50)</f>
        <v>0.34367505812931198</v>
      </c>
      <c r="J46" s="19">
        <f t="shared" ca="1" si="13"/>
        <v>1284.2527542778032</v>
      </c>
      <c r="K46" s="13">
        <f t="shared" ca="1" si="14"/>
        <v>8703.4521312778033</v>
      </c>
      <c r="L46" s="14">
        <f t="shared" ca="1" si="15"/>
        <v>0.48541418320714597</v>
      </c>
      <c r="M46" s="66">
        <f t="shared" si="17"/>
        <v>1.2689855476541823</v>
      </c>
      <c r="S46" s="49">
        <f t="shared" si="18"/>
        <v>0.35</v>
      </c>
      <c r="T46" s="53">
        <v>4535.736991880869</v>
      </c>
      <c r="U46" s="53">
        <v>-5354.1809922309585</v>
      </c>
      <c r="V46" s="14">
        <v>0.32671253611081652</v>
      </c>
      <c r="W46" s="14">
        <v>0.27213628598682976</v>
      </c>
      <c r="X46" s="14">
        <v>0.2922698716851434</v>
      </c>
      <c r="Y46" s="14">
        <v>0.28666399119334007</v>
      </c>
      <c r="Z46" s="14">
        <v>0.34159658326705195</v>
      </c>
      <c r="AA46" s="14">
        <v>0.37719997608790207</v>
      </c>
      <c r="AB46" s="14">
        <v>0.49763224311971183</v>
      </c>
      <c r="AC46" s="14">
        <v>0.56556651771647137</v>
      </c>
      <c r="AD46" s="14">
        <v>0.40050618691320816</v>
      </c>
      <c r="AE46" s="14">
        <v>0.44025078309431281</v>
      </c>
      <c r="AF46" s="14">
        <v>0.48870528976920341</v>
      </c>
      <c r="AG46" s="14">
        <v>0.43727423268862281</v>
      </c>
      <c r="AH46" s="14">
        <v>0.44409809279977319</v>
      </c>
      <c r="AI46" s="14">
        <v>0.56444696059513988</v>
      </c>
      <c r="AJ46" s="14">
        <v>0.41994036593800138</v>
      </c>
      <c r="AK46" s="14">
        <v>0.43978534780365369</v>
      </c>
      <c r="AL46" s="14">
        <v>0.41250737148850958</v>
      </c>
      <c r="AM46" s="14">
        <v>0.49704001901281941</v>
      </c>
      <c r="AN46" s="14">
        <v>0.42001832353040353</v>
      </c>
      <c r="AO46" s="14">
        <v>0.3633115506483009</v>
      </c>
      <c r="AP46" s="52">
        <v>9.8911087889577195E-3</v>
      </c>
    </row>
    <row r="47" spans="1:42" x14ac:dyDescent="0.25">
      <c r="A47" s="11">
        <f t="shared" si="16"/>
        <v>17</v>
      </c>
      <c r="B47" s="12" t="s">
        <v>23</v>
      </c>
      <c r="C47" s="17">
        <v>18824.710200000001</v>
      </c>
      <c r="D47" s="13">
        <f ca="1">OFFSET($U$3,(ROWS($U$4:U20)-1),-(ROWS($U$4:U20)-1),1,1)</f>
        <v>4024.5331259999998</v>
      </c>
      <c r="E47" s="14">
        <f ca="1">OFFSET($U$28,0,-(ROWS($I$30:I46)-1),1,1)</f>
        <v>0.80185455674006056</v>
      </c>
      <c r="F47" s="17">
        <f t="shared" ca="1" si="10"/>
        <v>994.498183570327</v>
      </c>
      <c r="G47" s="17">
        <f t="shared" ca="1" si="11"/>
        <v>5019.0313095703268</v>
      </c>
      <c r="H47" s="14">
        <f t="shared" ca="1" si="12"/>
        <v>0.26661931345802742</v>
      </c>
      <c r="I47" s="14">
        <f t="array" aca="1" ref="I47" ca="1">SUM($D$31:$D$50*$P$31^ABS(A47-$A$31:$A$50))/SUM($C$31:$C$50*$E$31:$E$50*$P$31^ABS(A47-$A$31:$A$50)*$M$31:$M$50)</f>
        <v>0.33475533506549598</v>
      </c>
      <c r="J47" s="19">
        <f t="shared" ca="1" si="13"/>
        <v>1608.2835277416025</v>
      </c>
      <c r="K47" s="13">
        <f t="shared" ca="1" si="14"/>
        <v>5632.8166537416018</v>
      </c>
      <c r="L47" s="14">
        <f t="shared" ca="1" si="15"/>
        <v>0.29922461455696681</v>
      </c>
      <c r="M47" s="66">
        <f t="shared" si="17"/>
        <v>1.2880203308689948</v>
      </c>
      <c r="S47" s="49">
        <f t="shared" si="18"/>
        <v>0.39999999999999997</v>
      </c>
      <c r="T47" s="53">
        <v>4464.4082445509484</v>
      </c>
      <c r="U47" s="53">
        <v>-5253.4601632062549</v>
      </c>
      <c r="V47" s="14">
        <v>0.32274605041187576</v>
      </c>
      <c r="W47" s="14">
        <v>0.27670838791382718</v>
      </c>
      <c r="X47" s="14">
        <v>0.29365316971637428</v>
      </c>
      <c r="Y47" s="14">
        <v>0.2921394115412882</v>
      </c>
      <c r="Z47" s="14">
        <v>0.34200575031003078</v>
      </c>
      <c r="AA47" s="14">
        <v>0.37909584645370759</v>
      </c>
      <c r="AB47" s="14">
        <v>0.4844560241548253</v>
      </c>
      <c r="AC47" s="14">
        <v>0.54287003607493745</v>
      </c>
      <c r="AD47" s="14">
        <v>0.41317597764912134</v>
      </c>
      <c r="AE47" s="14">
        <v>0.44322769524964073</v>
      </c>
      <c r="AF47" s="14">
        <v>0.48241446130169141</v>
      </c>
      <c r="AG47" s="14">
        <v>0.44212891094354045</v>
      </c>
      <c r="AH47" s="14">
        <v>0.44935050335551791</v>
      </c>
      <c r="AI47" s="14">
        <v>0.54546458514995844</v>
      </c>
      <c r="AJ47" s="14">
        <v>0.42766248669293222</v>
      </c>
      <c r="AK47" s="14">
        <v>0.44046526472433734</v>
      </c>
      <c r="AL47" s="14">
        <v>0.41845042874124827</v>
      </c>
      <c r="AM47" s="14">
        <v>0.48667911564936689</v>
      </c>
      <c r="AN47" s="14">
        <v>0.42170615709079934</v>
      </c>
      <c r="AO47" s="14">
        <v>0.37113993349383639</v>
      </c>
      <c r="AP47" s="52">
        <v>8.6863333670290071E-3</v>
      </c>
    </row>
    <row r="48" spans="1:42" x14ac:dyDescent="0.25">
      <c r="A48" s="11">
        <f t="shared" si="16"/>
        <v>18</v>
      </c>
      <c r="B48" s="12" t="s">
        <v>24</v>
      </c>
      <c r="C48" s="17">
        <v>20181.340199999999</v>
      </c>
      <c r="D48" s="13">
        <f ca="1">OFFSET($U$3,(ROWS($U$4:U21)-1),-(ROWS($U$4:U21)-1),1,1)</f>
        <v>8147.7663220000004</v>
      </c>
      <c r="E48" s="14">
        <f ca="1">OFFSET($U$28,0,-(ROWS($I$30:I47)-1),1,1)</f>
        <v>0.75787044895061118</v>
      </c>
      <c r="F48" s="17">
        <f t="shared" ca="1" si="10"/>
        <v>2603.1032141876722</v>
      </c>
      <c r="G48" s="17">
        <f t="shared" ca="1" si="11"/>
        <v>10750.869536187673</v>
      </c>
      <c r="H48" s="14">
        <f t="shared" ca="1" si="12"/>
        <v>0.53271335945209786</v>
      </c>
      <c r="I48" s="14">
        <f t="array" aca="1" ref="I48" ca="1">SUM($D$31:$D$50*$P$31^ABS(A48-$A$31:$A$50))/SUM($C$31:$C$50*$E$31:$E$50*$P$31^ABS(A48-$A$31:$A$50)*$M$31:$M$50)</f>
        <v>0.3347266640705891</v>
      </c>
      <c r="J48" s="19">
        <f t="shared" ca="1" si="13"/>
        <v>2138.340541648608</v>
      </c>
      <c r="K48" s="13">
        <f t="shared" ca="1" si="14"/>
        <v>10286.106863648609</v>
      </c>
      <c r="L48" s="14">
        <f t="shared" ca="1" si="15"/>
        <v>0.50968403295875309</v>
      </c>
      <c r="M48" s="66">
        <f t="shared" si="17"/>
        <v>1.3073406358320296</v>
      </c>
      <c r="S48" s="49">
        <f t="shared" si="18"/>
        <v>0.44999999999999996</v>
      </c>
      <c r="T48" s="53">
        <v>4397.2378203762064</v>
      </c>
      <c r="U48" s="53">
        <v>-5160.5286872261768</v>
      </c>
      <c r="V48" s="14">
        <v>0.31948632437219038</v>
      </c>
      <c r="W48" s="14">
        <v>0.28128277082700542</v>
      </c>
      <c r="X48" s="14">
        <v>0.29585832968737763</v>
      </c>
      <c r="Y48" s="14">
        <v>0.29769865526506534</v>
      </c>
      <c r="Z48" s="14">
        <v>0.34292371972761881</v>
      </c>
      <c r="AA48" s="14">
        <v>0.38019285152480242</v>
      </c>
      <c r="AB48" s="14">
        <v>0.47149454584311146</v>
      </c>
      <c r="AC48" s="14">
        <v>0.52172293597702335</v>
      </c>
      <c r="AD48" s="14">
        <v>0.42248671350152017</v>
      </c>
      <c r="AE48" s="14">
        <v>0.44555714480057462</v>
      </c>
      <c r="AF48" s="14">
        <v>0.47701965709806515</v>
      </c>
      <c r="AG48" s="14">
        <v>0.44616876065353511</v>
      </c>
      <c r="AH48" s="14">
        <v>0.45317691057671083</v>
      </c>
      <c r="AI48" s="14">
        <v>0.5289114383787431</v>
      </c>
      <c r="AJ48" s="14">
        <v>0.43391540448207472</v>
      </c>
      <c r="AK48" s="14">
        <v>0.44148802446373447</v>
      </c>
      <c r="AL48" s="14">
        <v>0.4234554150263935</v>
      </c>
      <c r="AM48" s="14">
        <v>0.4776967759143706</v>
      </c>
      <c r="AN48" s="14">
        <v>0.42320387579938662</v>
      </c>
      <c r="AO48" s="14">
        <v>0.37886290527889077</v>
      </c>
      <c r="AP48" s="52">
        <v>7.6469083916339865E-3</v>
      </c>
    </row>
    <row r="49" spans="1:42" x14ac:dyDescent="0.25">
      <c r="A49" s="11">
        <f t="shared" si="16"/>
        <v>19</v>
      </c>
      <c r="B49" s="12" t="s">
        <v>25</v>
      </c>
      <c r="C49" s="17">
        <v>20891.360199999999</v>
      </c>
      <c r="D49" s="13">
        <f ca="1">OFFSET($U$3,(ROWS($U$4:U22)-1),-(ROWS($U$4:U22)-1),1,1)</f>
        <v>4806.7515240000002</v>
      </c>
      <c r="E49" s="14">
        <f ca="1">OFFSET($U$28,0,-(ROWS($I$30:I48)-1),1,1)</f>
        <v>0.5821957719860108</v>
      </c>
      <c r="F49" s="17">
        <f t="shared" ca="1" si="10"/>
        <v>3449.494493732157</v>
      </c>
      <c r="G49" s="17">
        <f t="shared" ca="1" si="11"/>
        <v>8256.2460177321573</v>
      </c>
      <c r="H49" s="14">
        <f t="shared" ca="1" si="12"/>
        <v>0.39519906500545415</v>
      </c>
      <c r="I49" s="14">
        <f t="array" aca="1" ref="I49" ca="1">SUM($D$31:$D$50*$P$31^ABS(A49-$A$31:$A$50))/SUM($C$31:$C$50*$E$31:$E$50*$P$31^ABS(A49-$A$31:$A$50)*$M$31:$M$50)</f>
        <v>0.32788628420318205</v>
      </c>
      <c r="J49" s="19">
        <f t="shared" ca="1" si="13"/>
        <v>3797.6732930703529</v>
      </c>
      <c r="K49" s="13">
        <f t="shared" ca="1" si="14"/>
        <v>8604.424817070354</v>
      </c>
      <c r="L49" s="14">
        <f t="shared" ca="1" si="15"/>
        <v>0.41186522728521785</v>
      </c>
      <c r="M49" s="66">
        <f t="shared" si="17"/>
        <v>1.32695074536951</v>
      </c>
      <c r="S49" s="49">
        <f t="shared" si="18"/>
        <v>0.49999999999999994</v>
      </c>
      <c r="T49" s="53">
        <v>4333.4111531940234</v>
      </c>
      <c r="U49" s="53">
        <v>-5073.0386084238999</v>
      </c>
      <c r="V49" s="14">
        <v>0.31709237223943587</v>
      </c>
      <c r="W49" s="14">
        <v>0.28604664948470376</v>
      </c>
      <c r="X49" s="14">
        <v>0.29888715716080488</v>
      </c>
      <c r="Y49" s="14">
        <v>0.30342489344865514</v>
      </c>
      <c r="Z49" s="14">
        <v>0.34431012773430791</v>
      </c>
      <c r="AA49" s="14">
        <v>0.38065096663380599</v>
      </c>
      <c r="AB49" s="14">
        <v>0.45893391137568013</v>
      </c>
      <c r="AC49" s="14">
        <v>0.50206639032636946</v>
      </c>
      <c r="AD49" s="14">
        <v>0.42860132947707141</v>
      </c>
      <c r="AE49" s="14">
        <v>0.4468866487643513</v>
      </c>
      <c r="AF49" s="14">
        <v>0.47213289643900841</v>
      </c>
      <c r="AG49" s="14">
        <v>0.44923679713338921</v>
      </c>
      <c r="AH49" s="14">
        <v>0.45568794874570834</v>
      </c>
      <c r="AI49" s="14">
        <v>0.51445126543848352</v>
      </c>
      <c r="AJ49" s="14">
        <v>0.43885626110632886</v>
      </c>
      <c r="AK49" s="14">
        <v>0.44264242290822831</v>
      </c>
      <c r="AL49" s="14">
        <v>0.42767459771170152</v>
      </c>
      <c r="AM49" s="14">
        <v>0.4699989082356163</v>
      </c>
      <c r="AN49" s="14">
        <v>0.42463001806323109</v>
      </c>
      <c r="AO49" s="14">
        <v>0.38643987026505988</v>
      </c>
      <c r="AP49" s="52">
        <v>6.7451933394966444E-3</v>
      </c>
    </row>
    <row r="50" spans="1:42" ht="15.75" thickBot="1" x14ac:dyDescent="0.3">
      <c r="A50" s="11">
        <f t="shared" si="16"/>
        <v>20</v>
      </c>
      <c r="B50" s="12" t="s">
        <v>26</v>
      </c>
      <c r="C50" s="17">
        <v>23653.9902</v>
      </c>
      <c r="D50" s="21">
        <f ca="1">OFFSET($U$3,(ROWS($U$4:U23)-1),-(ROWS($U$4:U23)-1),1,1)</f>
        <v>1877.010266</v>
      </c>
      <c r="E50" s="22">
        <f ca="1">OFFSET($U$28,0,-(ROWS($I$30:I49)-1),1,1)</f>
        <v>0.32046203297110881</v>
      </c>
      <c r="F50" s="23">
        <f t="shared" ca="1" si="10"/>
        <v>3980.1898790456426</v>
      </c>
      <c r="G50" s="23">
        <f t="shared" ca="1" si="11"/>
        <v>5857.2001450456428</v>
      </c>
      <c r="H50" s="22">
        <f t="shared" ca="1" si="12"/>
        <v>0.24761996160147401</v>
      </c>
      <c r="I50" s="14">
        <f t="array" aca="1" ref="I50" ca="1">SUM($D$31:$D$50*$P$31^ABS(A50-$A$31:$A$50))/SUM($C$31:$C$50*$E$31:$E$50*$P$31^ABS(A50-$A$31:$A$50)*$M$31:$M$50)</f>
        <v>0.32132094059012467</v>
      </c>
      <c r="J50" s="19">
        <f t="shared" ca="1" si="13"/>
        <v>6956.2953614568178</v>
      </c>
      <c r="K50" s="21">
        <f t="shared" ca="1" si="14"/>
        <v>8833.3056274568171</v>
      </c>
      <c r="L50" s="22">
        <f t="shared" ca="1" si="15"/>
        <v>0.37343828896389825</v>
      </c>
      <c r="M50" s="66">
        <f t="shared" si="17"/>
        <v>1.3468550065500522</v>
      </c>
      <c r="S50" s="49">
        <f t="shared" si="18"/>
        <v>0.54999999999999993</v>
      </c>
      <c r="T50" s="53">
        <v>4272.0608864615788</v>
      </c>
      <c r="U50" s="53">
        <v>-4988.6282583551165</v>
      </c>
      <c r="V50" s="14">
        <v>0.31576082157118301</v>
      </c>
      <c r="W50" s="14">
        <v>0.29120222508839383</v>
      </c>
      <c r="X50" s="14">
        <v>0.30277470758172487</v>
      </c>
      <c r="Y50" s="14">
        <v>0.30940891872212123</v>
      </c>
      <c r="Z50" s="14">
        <v>0.3461597420391983</v>
      </c>
      <c r="AA50" s="14">
        <v>0.38065927493355761</v>
      </c>
      <c r="AB50" s="14">
        <v>0.44697685327349784</v>
      </c>
      <c r="AC50" s="14">
        <v>0.4838953965078665</v>
      </c>
      <c r="AD50" s="14">
        <v>0.43175622148827209</v>
      </c>
      <c r="AE50" s="14">
        <v>0.44691519738777613</v>
      </c>
      <c r="AF50" s="14">
        <v>0.46732934346723937</v>
      </c>
      <c r="AG50" s="14">
        <v>0.45112600044361334</v>
      </c>
      <c r="AH50" s="14">
        <v>0.45691370857847541</v>
      </c>
      <c r="AI50" s="14">
        <v>0.50173804090401652</v>
      </c>
      <c r="AJ50" s="14">
        <v>0.4425877570487643</v>
      </c>
      <c r="AK50" s="14">
        <v>0.44375092845010006</v>
      </c>
      <c r="AL50" s="14">
        <v>0.43122218348151226</v>
      </c>
      <c r="AM50" s="14">
        <v>0.46349225425670065</v>
      </c>
      <c r="AN50" s="14">
        <v>0.42608881830448936</v>
      </c>
      <c r="AO50" s="14">
        <v>0.39385181750879356</v>
      </c>
      <c r="AP50" s="52">
        <v>5.9623704889677802E-3</v>
      </c>
    </row>
    <row r="51" spans="1:42" ht="15.75" thickBot="1" x14ac:dyDescent="0.3">
      <c r="B51" s="27" t="s">
        <v>42</v>
      </c>
      <c r="C51" s="28">
        <f>SUM(C31:C50)</f>
        <v>375363.76399999997</v>
      </c>
      <c r="D51" s="28">
        <f ca="1">SUM(D31:D50)</f>
        <v>125244.49439599998</v>
      </c>
      <c r="E51" s="29"/>
      <c r="F51" s="28">
        <f ca="1">SUM(F31:F50)</f>
        <v>18013.362509435377</v>
      </c>
      <c r="G51" s="30">
        <f ca="1">SUM(G31:G50)</f>
        <v>143257.85690543539</v>
      </c>
      <c r="H51" s="31">
        <f ca="1">G51/C51</f>
        <v>0.3816507362853368</v>
      </c>
      <c r="I51" s="29"/>
      <c r="J51" s="30">
        <f ca="1">SUM(J31:J50)</f>
        <v>21034.310513604065</v>
      </c>
      <c r="K51" s="30">
        <f ca="1">SUM(K31:K50)</f>
        <v>146278.80490960408</v>
      </c>
      <c r="L51" s="32">
        <f ca="1">K51/C51</f>
        <v>0.38969879071652769</v>
      </c>
      <c r="M51" s="32"/>
      <c r="S51" s="49">
        <f t="shared" si="18"/>
        <v>0.6</v>
      </c>
      <c r="T51" s="53">
        <v>4212.5466015132115</v>
      </c>
      <c r="U51" s="53">
        <v>-4905.3653085302021</v>
      </c>
      <c r="V51" s="14">
        <v>0.31573271095169092</v>
      </c>
      <c r="W51" s="14">
        <v>0.29697917461086837</v>
      </c>
      <c r="X51" s="14">
        <v>0.30759779271479487</v>
      </c>
      <c r="Y51" s="14">
        <v>0.31576236400805641</v>
      </c>
      <c r="Z51" s="14">
        <v>0.34850773659047951</v>
      </c>
      <c r="AA51" s="14">
        <v>0.38043428399487406</v>
      </c>
      <c r="AB51" s="14">
        <v>0.43583824694546708</v>
      </c>
      <c r="AC51" s="14">
        <v>0.46725205906896827</v>
      </c>
      <c r="AD51" s="14">
        <v>0.43227201511645702</v>
      </c>
      <c r="AE51" s="14">
        <v>0.44543421116027732</v>
      </c>
      <c r="AF51" s="14">
        <v>0.46219298592847752</v>
      </c>
      <c r="AG51" s="14">
        <v>0.45159072899768998</v>
      </c>
      <c r="AH51" s="14">
        <v>0.45679425271122392</v>
      </c>
      <c r="AI51" s="14">
        <v>0.49038749253505171</v>
      </c>
      <c r="AJ51" s="14">
        <v>0.44513562149525604</v>
      </c>
      <c r="AK51" s="14">
        <v>0.44463492137981331</v>
      </c>
      <c r="AL51" s="14">
        <v>0.43415783133577501</v>
      </c>
      <c r="AM51" s="14">
        <v>0.45806548007650205</v>
      </c>
      <c r="AN51" s="14">
        <v>0.42765493979588493</v>
      </c>
      <c r="AO51" s="14">
        <v>0.40108398307317411</v>
      </c>
      <c r="AP51" s="52">
        <v>5.2867817595398129E-3</v>
      </c>
    </row>
    <row r="52" spans="1:42" x14ac:dyDescent="0.25">
      <c r="S52" s="49">
        <f t="shared" si="18"/>
        <v>0.65</v>
      </c>
      <c r="T52" s="53">
        <v>4155.0242340433888</v>
      </c>
      <c r="U52" s="53">
        <v>-4822.52683631324</v>
      </c>
      <c r="V52" s="14">
        <v>0.31730556209806471</v>
      </c>
      <c r="W52" s="14">
        <v>0.30365141372893673</v>
      </c>
      <c r="X52" s="14">
        <v>0.31348739953086902</v>
      </c>
      <c r="Y52" s="14">
        <v>0.32263113248878389</v>
      </c>
      <c r="Z52" s="14">
        <v>0.35143440693643352</v>
      </c>
      <c r="AA52" s="14">
        <v>0.38021643852663911</v>
      </c>
      <c r="AB52" s="14">
        <v>0.42573753066863324</v>
      </c>
      <c r="AC52" s="14">
        <v>0.4522131633260143</v>
      </c>
      <c r="AD52" s="14">
        <v>0.43055476379186558</v>
      </c>
      <c r="AE52" s="14">
        <v>0.4423662723378225</v>
      </c>
      <c r="AF52" s="14">
        <v>0.45637364369756267</v>
      </c>
      <c r="AG52" s="14">
        <v>0.45038099768600892</v>
      </c>
      <c r="AH52" s="14">
        <v>0.45518601275740245</v>
      </c>
      <c r="AI52" s="14">
        <v>0.47995444868060744</v>
      </c>
      <c r="AJ52" s="14">
        <v>0.44641637794005334</v>
      </c>
      <c r="AK52" s="14">
        <v>0.44506473367672883</v>
      </c>
      <c r="AL52" s="14">
        <v>0.43644852863933248</v>
      </c>
      <c r="AM52" s="14">
        <v>0.45354994996526649</v>
      </c>
      <c r="AN52" s="14">
        <v>0.42933540586466601</v>
      </c>
      <c r="AO52" s="14">
        <v>0.40808442085125096</v>
      </c>
      <c r="AP52" s="52">
        <v>4.7124417477656388E-3</v>
      </c>
    </row>
    <row r="53" spans="1:42" x14ac:dyDescent="0.25">
      <c r="B53" s="16" t="str">
        <f>B30</f>
        <v>Row Labels</v>
      </c>
      <c r="C53" s="16" t="s">
        <v>43</v>
      </c>
      <c r="D53" s="16" t="s">
        <v>44</v>
      </c>
      <c r="E53" s="16" t="s">
        <v>46</v>
      </c>
      <c r="F53" s="16" t="s">
        <v>47</v>
      </c>
      <c r="G53" s="41" t="str">
        <f>E30</f>
        <v>% to Ult</v>
      </c>
      <c r="H53" s="16" t="s">
        <v>48</v>
      </c>
      <c r="I53" s="16" t="s">
        <v>49</v>
      </c>
      <c r="J53" s="16" t="s">
        <v>50</v>
      </c>
      <c r="K53" s="18" t="s">
        <v>51</v>
      </c>
      <c r="L53" s="16" t="s">
        <v>52</v>
      </c>
      <c r="M53" s="16" t="s">
        <v>54</v>
      </c>
      <c r="N53" s="16" t="s">
        <v>53</v>
      </c>
      <c r="O53" s="16" t="s">
        <v>55</v>
      </c>
      <c r="S53" s="49">
        <f t="shared" si="18"/>
        <v>0.70000000000000007</v>
      </c>
      <c r="T53" s="53">
        <v>4101.5306548079971</v>
      </c>
      <c r="U53" s="53">
        <v>-4741.9231750684567</v>
      </c>
      <c r="V53" s="14">
        <v>0.32084903565631595</v>
      </c>
      <c r="W53" s="14">
        <v>0.31155497459250825</v>
      </c>
      <c r="X53" s="14">
        <v>0.3206408161215018</v>
      </c>
      <c r="Y53" s="14">
        <v>0.33020489271995085</v>
      </c>
      <c r="Z53" s="14">
        <v>0.35506580761328005</v>
      </c>
      <c r="AA53" s="14">
        <v>0.38026301918838218</v>
      </c>
      <c r="AB53" s="14">
        <v>0.41688774328450917</v>
      </c>
      <c r="AC53" s="14">
        <v>0.43887228040323512</v>
      </c>
      <c r="AD53" s="14">
        <v>0.42708248961716327</v>
      </c>
      <c r="AE53" s="14">
        <v>0.4377884988578194</v>
      </c>
      <c r="AF53" s="14">
        <v>0.44964447085550457</v>
      </c>
      <c r="AG53" s="14">
        <v>0.44729800701733852</v>
      </c>
      <c r="AH53" s="14">
        <v>0.45189343102130913</v>
      </c>
      <c r="AI53" s="14">
        <v>0.46992725539042501</v>
      </c>
      <c r="AJ53" s="14">
        <v>0.44620549368763568</v>
      </c>
      <c r="AK53" s="14">
        <v>0.4446965874817374</v>
      </c>
      <c r="AL53" s="14">
        <v>0.43790267384536868</v>
      </c>
      <c r="AM53" s="14">
        <v>0.44964743793686429</v>
      </c>
      <c r="AN53" s="14">
        <v>0.43098960380948936</v>
      </c>
      <c r="AO53" s="14">
        <v>0.41467475359132977</v>
      </c>
      <c r="AP53" s="52">
        <v>4.2379529667246106E-3</v>
      </c>
    </row>
    <row r="54" spans="1:42" x14ac:dyDescent="0.25">
      <c r="B54" s="12" t="str">
        <f t="shared" ref="B54:B72" si="19">B31</f>
        <v>201003</v>
      </c>
      <c r="C54" s="34"/>
      <c r="D54" s="34">
        <f ca="1">cas_lower!D28-cas_lower!C28</f>
        <v>105.89622400000007</v>
      </c>
      <c r="E54" s="34">
        <f ca="1">D54-C54</f>
        <v>105.89622400000007</v>
      </c>
      <c r="F54" s="34">
        <f ca="1">cas_lower!D28</f>
        <v>9455.5829360000007</v>
      </c>
      <c r="G54" s="14">
        <v>1</v>
      </c>
      <c r="H54" s="42">
        <f t="array" aca="1" ref="H54" ca="1">SUM($F$54:$F$73*$P$31^ABS(A31-$A$31:$A$50))/SUM($C$31:$C$50*$G$54:$G$73*$P$31^ABS(A31-$A$31:$A$50))</f>
        <v>0.33566776677017363</v>
      </c>
      <c r="I54" s="43">
        <f ca="1">(1-G54)*H54*C31</f>
        <v>0</v>
      </c>
      <c r="J54" s="43">
        <f ca="1">I54+F54</f>
        <v>9455.5829360000007</v>
      </c>
      <c r="K54" s="14">
        <f ca="1">J54/C31</f>
        <v>0.36751767172944849</v>
      </c>
      <c r="L54" s="43">
        <f ca="1">K31-J54</f>
        <v>-105.89622400000007</v>
      </c>
      <c r="M54" s="43">
        <f ca="1">(1-G54)*I31*C31</f>
        <v>0</v>
      </c>
      <c r="N54" s="43">
        <f ca="1">I54-M54</f>
        <v>0</v>
      </c>
      <c r="O54" s="43">
        <f ca="1">-(N54+E54)</f>
        <v>-105.89622400000007</v>
      </c>
      <c r="S54" s="49">
        <f t="shared" si="18"/>
        <v>0.75000000000000011</v>
      </c>
      <c r="T54" s="53">
        <v>4057.7109858769918</v>
      </c>
      <c r="U54" s="53">
        <v>-4669.7635698263966</v>
      </c>
      <c r="V54" s="14">
        <v>0.32681032139818905</v>
      </c>
      <c r="W54" s="14">
        <v>0.32109277873862085</v>
      </c>
      <c r="X54" s="14">
        <v>0.32932040938496288</v>
      </c>
      <c r="Y54" s="14">
        <v>0.33871226902195301</v>
      </c>
      <c r="Z54" s="14">
        <v>0.3595631476318098</v>
      </c>
      <c r="AA54" s="14">
        <v>0.38083379089481895</v>
      </c>
      <c r="AB54" s="14">
        <v>0.40948013062238969</v>
      </c>
      <c r="AC54" s="14">
        <v>0.42731756606766286</v>
      </c>
      <c r="AD54" s="14">
        <v>0.42237556077115485</v>
      </c>
      <c r="AE54" s="14">
        <v>0.43192887241446987</v>
      </c>
      <c r="AF54" s="14">
        <v>0.44194267596836678</v>
      </c>
      <c r="AG54" s="14">
        <v>0.44225889743711871</v>
      </c>
      <c r="AH54" s="14">
        <v>0.44673056431308727</v>
      </c>
      <c r="AI54" s="14">
        <v>0.45975534229630899</v>
      </c>
      <c r="AJ54" s="14">
        <v>0.4441298269281353</v>
      </c>
      <c r="AK54" s="14">
        <v>0.44301536917891648</v>
      </c>
      <c r="AL54" s="14">
        <v>0.43808512229540536</v>
      </c>
      <c r="AM54" s="14">
        <v>0.44582152007783066</v>
      </c>
      <c r="AN54" s="14">
        <v>0.43219212195845919</v>
      </c>
      <c r="AO54" s="14">
        <v>0.42038942650725275</v>
      </c>
      <c r="AP54" s="52">
        <v>3.8653416198921858E-3</v>
      </c>
    </row>
    <row r="55" spans="1:42" x14ac:dyDescent="0.25">
      <c r="B55" s="12" t="str">
        <f t="shared" si="19"/>
        <v>201006</v>
      </c>
      <c r="C55" s="34">
        <f t="shared" ref="C55:C72" ca="1" si="20">C32*I32*(E31-E32)</f>
        <v>-33.013803991261049</v>
      </c>
      <c r="D55" s="34">
        <f ca="1">cas_lower!D29-cas_lower!C29</f>
        <v>40.979710999999952</v>
      </c>
      <c r="E55" s="34">
        <f t="shared" ref="E55:E73" ca="1" si="21">D55-C55</f>
        <v>73.993514991261009</v>
      </c>
      <c r="F55" s="34">
        <f ca="1">cas_lower!D29</f>
        <v>5807.6562590000003</v>
      </c>
      <c r="G55" s="14">
        <f ca="1">E31</f>
        <v>1</v>
      </c>
      <c r="H55" s="42">
        <f t="array" aca="1" ref="H55" ca="1">SUM($F$54:$F$73*$P$31^ABS(A32-$A$31:$A$50))/SUM($C$31:$C$50*$G$54:$G$73*$P$31^ABS(A32-$A$31:$A$50))</f>
        <v>0.33268928786193352</v>
      </c>
      <c r="I55" s="43">
        <f t="shared" ref="I55:I73" ca="1" si="22">(1-G55)*H55*C32</f>
        <v>0</v>
      </c>
      <c r="J55" s="43">
        <f t="shared" ref="J55:J73" ca="1" si="23">I55+F55</f>
        <v>5807.6562590000003</v>
      </c>
      <c r="K55" s="14">
        <f t="shared" ref="K55:K73" ca="1" si="24">J55/C32</f>
        <v>0.22358336708777077</v>
      </c>
      <c r="L55" s="43">
        <f t="shared" ref="L55:L73" ca="1" si="25">K32-J55</f>
        <v>-74.991357216897086</v>
      </c>
      <c r="M55" s="43">
        <f t="shared" ref="M55:M73" ca="1" si="26">(1-G55)*I32*C32</f>
        <v>0</v>
      </c>
      <c r="N55" s="43">
        <f t="shared" ref="N55:N73" ca="1" si="27">I55-M55</f>
        <v>0</v>
      </c>
      <c r="O55" s="43">
        <f t="shared" ref="O55:O73" ca="1" si="28">-(N55+E55)</f>
        <v>-73.993514991261009</v>
      </c>
      <c r="S55" s="49">
        <f t="shared" si="18"/>
        <v>0.80000000000000016</v>
      </c>
      <c r="T55" s="53">
        <v>4034.6377871220211</v>
      </c>
      <c r="U55" s="53">
        <v>-4618.1681336784877</v>
      </c>
      <c r="V55" s="14">
        <v>0.33566776677017346</v>
      </c>
      <c r="W55" s="14">
        <v>0.33268928786193347</v>
      </c>
      <c r="X55" s="14">
        <v>0.33980969816385376</v>
      </c>
      <c r="Y55" s="14">
        <v>0.34838186015796196</v>
      </c>
      <c r="Z55" s="14">
        <v>0.36508935421002259</v>
      </c>
      <c r="AA55" s="14">
        <v>0.38216417764094945</v>
      </c>
      <c r="AB55" s="14">
        <v>0.40366299725446919</v>
      </c>
      <c r="AC55" s="14">
        <v>0.41760756479799038</v>
      </c>
      <c r="AD55" s="14">
        <v>0.41695478805288427</v>
      </c>
      <c r="AE55" s="14">
        <v>0.42513180156861863</v>
      </c>
      <c r="AF55" s="14">
        <v>0.43337712831301017</v>
      </c>
      <c r="AG55" s="14">
        <v>0.43534893558940613</v>
      </c>
      <c r="AH55" s="14">
        <v>0.43960522913347599</v>
      </c>
      <c r="AI55" s="14">
        <v>0.44892408822126517</v>
      </c>
      <c r="AJ55" s="14">
        <v>0.43972320410566862</v>
      </c>
      <c r="AK55" s="14">
        <v>0.43933331163825351</v>
      </c>
      <c r="AL55" s="14">
        <v>0.4362640503439929</v>
      </c>
      <c r="AM55" s="14">
        <v>0.44119308521752215</v>
      </c>
      <c r="AN55" s="14">
        <v>0.43207007662325853</v>
      </c>
      <c r="AO55" s="14">
        <v>0.4242698578608744</v>
      </c>
      <c r="AP55" s="52">
        <v>3.5971674465591326E-3</v>
      </c>
    </row>
    <row r="56" spans="1:42" x14ac:dyDescent="0.25">
      <c r="B56" s="12" t="str">
        <f t="shared" si="19"/>
        <v>201009</v>
      </c>
      <c r="C56" s="34">
        <f t="shared" ca="1" si="20"/>
        <v>-23.001618769626191</v>
      </c>
      <c r="D56" s="34">
        <f ca="1">cas_lower!D30-cas_lower!C30</f>
        <v>1.0230390000006082</v>
      </c>
      <c r="E56" s="34">
        <f t="shared" ca="1" si="21"/>
        <v>24.024657769626799</v>
      </c>
      <c r="F56" s="34">
        <f ca="1">cas_lower!D30</f>
        <v>7821.9049610000002</v>
      </c>
      <c r="G56" s="14">
        <f t="shared" ref="G56:G73" ca="1" si="29">E32</f>
        <v>1.0041467566983007</v>
      </c>
      <c r="H56" s="42">
        <f t="array" aca="1" ref="H56" ca="1">SUM($F$54:$F$73*$P$31^ABS(A33-$A$31:$A$50))/SUM($C$31:$C$50*$G$54:$G$73*$P$31^ABS(A33-$A$31:$A$50))</f>
        <v>0.3398096981638537</v>
      </c>
      <c r="I56" s="43">
        <f t="shared" ca="1" si="22"/>
        <v>-35.163575320491042</v>
      </c>
      <c r="J56" s="43">
        <f t="shared" ca="1" si="23"/>
        <v>7786.7413856795092</v>
      </c>
      <c r="K56" s="14">
        <f t="shared" ca="1" si="24"/>
        <v>0.31203768633508328</v>
      </c>
      <c r="L56" s="43">
        <f t="shared" ca="1" si="25"/>
        <v>-23.5528440105345</v>
      </c>
      <c r="M56" s="43">
        <f t="shared" ca="1" si="26"/>
        <v>-32.171541267296725</v>
      </c>
      <c r="N56" s="43">
        <f t="shared" ca="1" si="27"/>
        <v>-2.9920340531943168</v>
      </c>
      <c r="O56" s="43">
        <f t="shared" ca="1" si="28"/>
        <v>-21.032623716432482</v>
      </c>
      <c r="S56" s="49">
        <f t="shared" si="18"/>
        <v>0.8500000000000002</v>
      </c>
      <c r="T56" s="53">
        <v>4048.5094300691567</v>
      </c>
      <c r="U56" s="53">
        <v>-4603.6990663331344</v>
      </c>
      <c r="V56" s="14">
        <v>0.3477523669719349</v>
      </c>
      <c r="W56" s="14">
        <v>0.34662910886694343</v>
      </c>
      <c r="X56" s="14">
        <v>0.35227988886466438</v>
      </c>
      <c r="Y56" s="14">
        <v>0.35934250213336549</v>
      </c>
      <c r="Z56" s="14">
        <v>0.37174023139350931</v>
      </c>
      <c r="AA56" s="14">
        <v>0.3844217545455898</v>
      </c>
      <c r="AB56" s="14">
        <v>0.39951482810418409</v>
      </c>
      <c r="AC56" s="14">
        <v>0.40974855659829901</v>
      </c>
      <c r="AD56" s="14">
        <v>0.41129600003082606</v>
      </c>
      <c r="AE56" s="14">
        <v>0.41780078526413389</v>
      </c>
      <c r="AF56" s="14">
        <v>0.42419723589859198</v>
      </c>
      <c r="AG56" s="14">
        <v>0.42683798648424831</v>
      </c>
      <c r="AH56" s="14">
        <v>0.43060126924000608</v>
      </c>
      <c r="AI56" s="14">
        <v>0.43707374157530615</v>
      </c>
      <c r="AJ56" s="14">
        <v>0.43258118028622417</v>
      </c>
      <c r="AK56" s="14">
        <v>0.43292396758172874</v>
      </c>
      <c r="AL56" s="14">
        <v>0.43150800139868001</v>
      </c>
      <c r="AM56" s="14">
        <v>0.43457648756174805</v>
      </c>
      <c r="AN56" s="14">
        <v>0.42927919520070673</v>
      </c>
      <c r="AO56" s="14">
        <v>0.42480075553493846</v>
      </c>
      <c r="AP56" s="52">
        <v>3.4302401466722327E-3</v>
      </c>
    </row>
    <row r="57" spans="1:42" x14ac:dyDescent="0.25">
      <c r="B57" s="12" t="str">
        <f t="shared" si="19"/>
        <v>201012</v>
      </c>
      <c r="C57" s="34">
        <f t="shared" ca="1" si="20"/>
        <v>10.273728596743744</v>
      </c>
      <c r="D57" s="34">
        <f ca="1">cas_lower!D31-cas_lower!C31</f>
        <v>-129.86790100000053</v>
      </c>
      <c r="E57" s="34">
        <f t="shared" ca="1" si="21"/>
        <v>-140.14162959674428</v>
      </c>
      <c r="F57" s="34">
        <f ca="1">cas_lower!D31</f>
        <v>5920.8183879999997</v>
      </c>
      <c r="G57" s="14">
        <f t="shared" ca="1" si="29"/>
        <v>1.0071115545583791</v>
      </c>
      <c r="H57" s="42">
        <f t="array" aca="1" ref="H57" ca="1">SUM($F$54:$F$73*$P$31^ABS(A34-$A$31:$A$50))/SUM($C$31:$C$50*$G$54:$G$73*$P$31^ABS(A34-$A$31:$A$50))</f>
        <v>0.34838186015796191</v>
      </c>
      <c r="I57" s="43">
        <f t="shared" ca="1" si="22"/>
        <v>-60.645612260879815</v>
      </c>
      <c r="J57" s="43">
        <f t="shared" ca="1" si="23"/>
        <v>5860.17277573912</v>
      </c>
      <c r="K57" s="14">
        <f t="shared" ca="1" si="24"/>
        <v>0.23940384186324035</v>
      </c>
      <c r="L57" s="43">
        <f t="shared" ca="1" si="25"/>
        <v>143.06648081254752</v>
      </c>
      <c r="M57" s="43">
        <f t="shared" ca="1" si="26"/>
        <v>-54.977574343465378</v>
      </c>
      <c r="N57" s="43">
        <f t="shared" ca="1" si="27"/>
        <v>-5.6680379174144377</v>
      </c>
      <c r="O57" s="43">
        <f t="shared" ca="1" si="28"/>
        <v>145.80966751415872</v>
      </c>
      <c r="S57" s="49">
        <f t="shared" si="18"/>
        <v>0.90000000000000024</v>
      </c>
      <c r="T57" s="53">
        <v>4114.692296705678</v>
      </c>
      <c r="U57" s="53">
        <v>-4639.8778449987722</v>
      </c>
      <c r="V57" s="14">
        <v>0.36286332685260708</v>
      </c>
      <c r="W57" s="14">
        <v>0.36272598552801155</v>
      </c>
      <c r="X57" s="14">
        <v>0.36653540205759577</v>
      </c>
      <c r="Y57" s="14">
        <v>0.37145286973465408</v>
      </c>
      <c r="Z57" s="14">
        <v>0.37944001896301416</v>
      </c>
      <c r="AA57" s="14">
        <v>0.38764909046953866</v>
      </c>
      <c r="AB57" s="14">
        <v>0.39701547785511515</v>
      </c>
      <c r="AC57" s="14">
        <v>0.40367785476027651</v>
      </c>
      <c r="AD57" s="14">
        <v>0.40579167038130004</v>
      </c>
      <c r="AE57" s="14">
        <v>0.41033482606252475</v>
      </c>
      <c r="AF57" s="14">
        <v>0.41473303761286612</v>
      </c>
      <c r="AG57" s="14">
        <v>0.4171498822410607</v>
      </c>
      <c r="AH57" s="14">
        <v>0.42002328241345072</v>
      </c>
      <c r="AI57" s="14">
        <v>0.42412480103656491</v>
      </c>
      <c r="AJ57" s="14">
        <v>0.42260030340838889</v>
      </c>
      <c r="AK57" s="14">
        <v>0.42333802936607473</v>
      </c>
      <c r="AL57" s="14">
        <v>0.42306548521580345</v>
      </c>
      <c r="AM57" s="14">
        <v>0.42486543059728438</v>
      </c>
      <c r="AN57" s="14">
        <v>0.42242960950761427</v>
      </c>
      <c r="AO57" s="14">
        <v>0.42037544325971388</v>
      </c>
      <c r="AP57" s="52">
        <v>3.3485658077891715E-3</v>
      </c>
    </row>
    <row r="58" spans="1:42" x14ac:dyDescent="0.25">
      <c r="B58" s="12" t="str">
        <f t="shared" si="19"/>
        <v>201103</v>
      </c>
      <c r="C58" s="34">
        <f t="shared" ca="1" si="20"/>
        <v>267.80192145325356</v>
      </c>
      <c r="D58" s="34">
        <f ca="1">cas_lower!D32-cas_lower!C32</f>
        <v>200.81802100000095</v>
      </c>
      <c r="E58" s="34">
        <f t="shared" ca="1" si="21"/>
        <v>-66.983900453252602</v>
      </c>
      <c r="F58" s="34">
        <f ca="1">cas_lower!D32</f>
        <v>8708.8686620000008</v>
      </c>
      <c r="G58" s="14">
        <f t="shared" ca="1" si="29"/>
        <v>1.0057826093965341</v>
      </c>
      <c r="H58" s="42">
        <f t="array" aca="1" ref="H58" ca="1">SUM($F$54:$F$73*$P$31^ABS(A35-$A$31:$A$50))/SUM($C$31:$C$50*$G$54:$G$73*$P$31^ABS(A35-$A$31:$A$50))</f>
        <v>0.36508935421002231</v>
      </c>
      <c r="I58" s="43">
        <f t="shared" ca="1" si="22"/>
        <v>-50.455760380004349</v>
      </c>
      <c r="J58" s="43">
        <f t="shared" ca="1" si="23"/>
        <v>8658.4129016199968</v>
      </c>
      <c r="K58" s="14">
        <f t="shared" ca="1" si="24"/>
        <v>0.36228517610299493</v>
      </c>
      <c r="L58" s="43">
        <f t="shared" ca="1" si="25"/>
        <v>89.45135998128535</v>
      </c>
      <c r="M58" s="43">
        <f t="shared" ca="1" si="26"/>
        <v>-45.192451957202259</v>
      </c>
      <c r="N58" s="43">
        <f t="shared" ca="1" si="27"/>
        <v>-5.2633084228020905</v>
      </c>
      <c r="O58" s="43">
        <f t="shared" ca="1" si="28"/>
        <v>72.247208876054685</v>
      </c>
      <c r="S58" s="49">
        <f>S57+5%</f>
        <v>0.95000000000000029</v>
      </c>
      <c r="T58" s="53">
        <v>4236.4088287428985</v>
      </c>
      <c r="U58" s="53">
        <v>-4726.3551653715167</v>
      </c>
      <c r="V58" s="14">
        <v>0.37979526186592399</v>
      </c>
      <c r="W58" s="14">
        <v>0.37992904324867521</v>
      </c>
      <c r="X58" s="14">
        <v>0.38172142221926697</v>
      </c>
      <c r="Y58" s="14">
        <v>0.38412094743090963</v>
      </c>
      <c r="Z58" s="14">
        <v>0.38783692988165536</v>
      </c>
      <c r="AA58" s="14">
        <v>0.39171099869819559</v>
      </c>
      <c r="AB58" s="14">
        <v>0.39602455858166896</v>
      </c>
      <c r="AC58" s="14">
        <v>0.39925730494405481</v>
      </c>
      <c r="AD58" s="14">
        <v>0.40072785856363663</v>
      </c>
      <c r="AE58" s="14">
        <v>0.40307609082749646</v>
      </c>
      <c r="AF58" s="14">
        <v>0.40532722190369253</v>
      </c>
      <c r="AG58" s="14">
        <v>0.4067933979790358</v>
      </c>
      <c r="AH58" s="14">
        <v>0.40837601470357376</v>
      </c>
      <c r="AI58" s="14">
        <v>0.41034182801706037</v>
      </c>
      <c r="AJ58" s="14">
        <v>0.41018882731529144</v>
      </c>
      <c r="AK58" s="14">
        <v>0.41078581918306872</v>
      </c>
      <c r="AL58" s="14">
        <v>0.41095173677861252</v>
      </c>
      <c r="AM58" s="14">
        <v>0.41176325332972469</v>
      </c>
      <c r="AN58" s="14">
        <v>0.41104205880480582</v>
      </c>
      <c r="AO58" s="14">
        <v>0.41042175903613576</v>
      </c>
      <c r="AP58" s="52">
        <v>3.3247638357917046E-3</v>
      </c>
    </row>
    <row r="59" spans="1:42" x14ac:dyDescent="0.25">
      <c r="B59" s="12" t="str">
        <f t="shared" si="19"/>
        <v>201106</v>
      </c>
      <c r="C59" s="34">
        <f t="shared" ca="1" si="20"/>
        <v>53.504745067788313</v>
      </c>
      <c r="D59" s="34">
        <f ca="1">cas_lower!D33-cas_lower!C33</f>
        <v>69.589942999999948</v>
      </c>
      <c r="E59" s="34">
        <f t="shared" ca="1" si="21"/>
        <v>16.085197932211635</v>
      </c>
      <c r="F59" s="34">
        <f ca="1">cas_lower!D33</f>
        <v>7050.8121199999996</v>
      </c>
      <c r="G59" s="14">
        <f t="shared" ca="1" si="29"/>
        <v>0.97151595998189288</v>
      </c>
      <c r="H59" s="42">
        <f t="array" aca="1" ref="H59" ca="1">SUM($F$54:$F$73*$P$31^ABS(A36-$A$31:$A$50))/SUM($C$31:$C$50*$G$54:$G$73*$P$31^ABS(A36-$A$31:$A$50))</f>
        <v>0.3821641776409494</v>
      </c>
      <c r="I59" s="43">
        <f t="shared" ca="1" si="22"/>
        <v>236.54637109216668</v>
      </c>
      <c r="J59" s="43">
        <f t="shared" ca="1" si="23"/>
        <v>7287.3584910921663</v>
      </c>
      <c r="K59" s="14">
        <f t="shared" ca="1" si="24"/>
        <v>0.33535548021863859</v>
      </c>
      <c r="L59" s="43">
        <f t="shared" ca="1" si="25"/>
        <v>-19.45733750704585</v>
      </c>
      <c r="M59" s="43">
        <f t="shared" ca="1" si="26"/>
        <v>208.67527472714804</v>
      </c>
      <c r="N59" s="43">
        <f t="shared" ca="1" si="27"/>
        <v>27.871096365018644</v>
      </c>
      <c r="O59" s="43">
        <f t="shared" ca="1" si="28"/>
        <v>-43.956294297230279</v>
      </c>
      <c r="S59" s="49">
        <f t="shared" ref="S59" si="30">S58+5%</f>
        <v>1.0000000000000002</v>
      </c>
      <c r="T59" s="53">
        <v>4397.9670688412971</v>
      </c>
      <c r="U59" s="53">
        <v>-4845.7818689633295</v>
      </c>
      <c r="V59" s="14">
        <v>0.39627951295395819</v>
      </c>
      <c r="W59" s="14">
        <v>0.39627951295395836</v>
      </c>
      <c r="X59" s="14">
        <v>0.39627951295395836</v>
      </c>
      <c r="Y59" s="14">
        <v>0.39627951295395819</v>
      </c>
      <c r="Z59" s="14">
        <v>0.39627951295395819</v>
      </c>
      <c r="AA59" s="14">
        <v>0.39627951295395808</v>
      </c>
      <c r="AB59" s="14">
        <v>0.39627951295395802</v>
      </c>
      <c r="AC59" s="14">
        <v>0.39627951295395814</v>
      </c>
      <c r="AD59" s="14">
        <v>0.39627951295395825</v>
      </c>
      <c r="AE59" s="14">
        <v>0.3962795129539583</v>
      </c>
      <c r="AF59" s="14">
        <v>0.39627951295395825</v>
      </c>
      <c r="AG59" s="14">
        <v>0.3962795129539583</v>
      </c>
      <c r="AH59" s="14">
        <v>0.39627951295395814</v>
      </c>
      <c r="AI59" s="14">
        <v>0.39627951295395802</v>
      </c>
      <c r="AJ59" s="14">
        <v>0.39627951295395802</v>
      </c>
      <c r="AK59" s="14">
        <v>0.39627951295395802</v>
      </c>
      <c r="AL59" s="14">
        <v>0.39627951295395808</v>
      </c>
      <c r="AM59" s="14">
        <v>0.39627951295395808</v>
      </c>
      <c r="AN59" s="14">
        <v>0.39627951295395808</v>
      </c>
      <c r="AO59" s="14">
        <v>0.39627951295395808</v>
      </c>
      <c r="AP59" s="52">
        <v>3.333135937641622E-3</v>
      </c>
    </row>
    <row r="60" spans="1:42" x14ac:dyDescent="0.25">
      <c r="B60" s="12" t="str">
        <f t="shared" si="19"/>
        <v>201109</v>
      </c>
      <c r="C60" s="34">
        <f t="shared" ca="1" si="20"/>
        <v>-87.014769397561722</v>
      </c>
      <c r="D60" s="34">
        <f ca="1">cas_lower!D34-cas_lower!C34</f>
        <v>1056.9742800000004</v>
      </c>
      <c r="E60" s="34">
        <f t="shared" ca="1" si="21"/>
        <v>1143.989049397562</v>
      </c>
      <c r="F60" s="34">
        <f ca="1">cas_lower!D34</f>
        <v>8560.5976740000006</v>
      </c>
      <c r="G60" s="14">
        <f t="shared" ca="1" si="29"/>
        <v>0.96421259688982441</v>
      </c>
      <c r="H60" s="42">
        <f t="array" aca="1" ref="H60" ca="1">SUM($F$54:$F$73*$P$31^ABS(A37-$A$31:$A$50))/SUM($C$31:$C$50*$G$54:$G$73*$P$31^ABS(A37-$A$31:$A$50))</f>
        <v>0.4036629972544693</v>
      </c>
      <c r="I60" s="43">
        <f t="shared" ca="1" si="22"/>
        <v>220.03877558181472</v>
      </c>
      <c r="J60" s="43">
        <f t="shared" ca="1" si="23"/>
        <v>8780.6364495818161</v>
      </c>
      <c r="K60" s="14">
        <f t="shared" ca="1" si="24"/>
        <v>0.57646892639380021</v>
      </c>
      <c r="L60" s="43">
        <f t="shared" ca="1" si="25"/>
        <v>-1161.8727586915365</v>
      </c>
      <c r="M60" s="43">
        <f t="shared" ca="1" si="26"/>
        <v>190.7592615800198</v>
      </c>
      <c r="N60" s="43">
        <f t="shared" ca="1" si="27"/>
        <v>29.279514001794922</v>
      </c>
      <c r="O60" s="43">
        <f t="shared" ca="1" si="28"/>
        <v>-1173.2685633993569</v>
      </c>
    </row>
    <row r="61" spans="1:42" x14ac:dyDescent="0.25">
      <c r="B61" s="12" t="str">
        <f t="shared" si="19"/>
        <v>201112</v>
      </c>
      <c r="C61" s="34">
        <f t="shared" ca="1" si="20"/>
        <v>-77.492179240649591</v>
      </c>
      <c r="D61" s="34">
        <f ca="1">cas_lower!D35-cas_lower!C35</f>
        <v>562.82290699999976</v>
      </c>
      <c r="E61" s="34">
        <f t="shared" ca="1" si="21"/>
        <v>640.31508624064941</v>
      </c>
      <c r="F61" s="34">
        <f ca="1">cas_lower!D35</f>
        <v>9206.9378130000005</v>
      </c>
      <c r="G61" s="14">
        <f t="shared" ca="1" si="29"/>
        <v>0.98053700810412991</v>
      </c>
      <c r="H61" s="42">
        <f t="array" aca="1" ref="H61" ca="1">SUM($F$54:$F$73*$P$31^ABS(A38-$A$31:$A$50))/SUM($C$31:$C$50*$G$54:$G$73*$P$31^ABS(A38-$A$31:$A$50))</f>
        <v>0.41760756479799038</v>
      </c>
      <c r="I61" s="43">
        <f t="shared" ca="1" si="22"/>
        <v>97.453597048746289</v>
      </c>
      <c r="J61" s="43">
        <f t="shared" ca="1" si="23"/>
        <v>9304.3914100487473</v>
      </c>
      <c r="K61" s="14">
        <f t="shared" ca="1" si="24"/>
        <v>0.77601132065221601</v>
      </c>
      <c r="L61" s="43">
        <f t="shared" ca="1" si="25"/>
        <v>-653.42788835676583</v>
      </c>
      <c r="M61" s="43">
        <f t="shared" ca="1" si="26"/>
        <v>83.571771573058172</v>
      </c>
      <c r="N61" s="43">
        <f t="shared" ca="1" si="27"/>
        <v>13.881825475688117</v>
      </c>
      <c r="O61" s="43">
        <f t="shared" ca="1" si="28"/>
        <v>-654.19691171633758</v>
      </c>
    </row>
    <row r="62" spans="1:42" x14ac:dyDescent="0.25">
      <c r="B62" s="12" t="str">
        <f t="shared" si="19"/>
        <v>201203</v>
      </c>
      <c r="C62" s="34">
        <f t="shared" ca="1" si="20"/>
        <v>200.94898002579995</v>
      </c>
      <c r="D62" s="34">
        <f ca="1">cas_lower!D36-cas_lower!C36</f>
        <v>421.70157100000006</v>
      </c>
      <c r="E62" s="34">
        <f t="shared" ca="1" si="21"/>
        <v>220.7525909742001</v>
      </c>
      <c r="F62" s="34">
        <f ca="1">cas_lower!D36</f>
        <v>2504.5055510000002</v>
      </c>
      <c r="G62" s="14">
        <f t="shared" ca="1" si="29"/>
        <v>0.99858412650505535</v>
      </c>
      <c r="H62" s="42">
        <f t="array" aca="1" ref="H62" ca="1">SUM($F$54:$F$73*$P$31^ABS(A39-$A$31:$A$50))/SUM($C$31:$C$50*$G$54:$G$73*$P$31^ABS(A39-$A$31:$A$50))</f>
        <v>0.41695478805288422</v>
      </c>
      <c r="I62" s="43">
        <f t="shared" ca="1" si="22"/>
        <v>6.9255400060603174</v>
      </c>
      <c r="J62" s="43">
        <f t="shared" ca="1" si="23"/>
        <v>2511.4310910060603</v>
      </c>
      <c r="K62" s="14">
        <f t="shared" ca="1" si="24"/>
        <v>0.21408243769911303</v>
      </c>
      <c r="L62" s="43">
        <f t="shared" ca="1" si="25"/>
        <v>-192.13511085810114</v>
      </c>
      <c r="M62" s="43">
        <f t="shared" ca="1" si="26"/>
        <v>5.8850881725134299</v>
      </c>
      <c r="N62" s="43">
        <f t="shared" ca="1" si="27"/>
        <v>1.0404518335468875</v>
      </c>
      <c r="O62" s="43">
        <f t="shared" ca="1" si="28"/>
        <v>-221.79304280774699</v>
      </c>
    </row>
    <row r="63" spans="1:42" x14ac:dyDescent="0.25">
      <c r="B63" s="12" t="str">
        <f t="shared" si="19"/>
        <v>201206</v>
      </c>
      <c r="C63" s="34">
        <f t="shared" ca="1" si="20"/>
        <v>112.90876593543921</v>
      </c>
      <c r="D63" s="34">
        <f ca="1">cas_lower!D37-cas_lower!C37</f>
        <v>118.91672699999981</v>
      </c>
      <c r="E63" s="34">
        <f t="shared" ca="1" si="21"/>
        <v>6.0079610645606039</v>
      </c>
      <c r="F63" s="34">
        <f ca="1">cas_lower!D37</f>
        <v>4719.5838999999996</v>
      </c>
      <c r="G63" s="14">
        <f t="shared" ca="1" si="29"/>
        <v>0.95023848981883741</v>
      </c>
      <c r="H63" s="42">
        <f t="array" aca="1" ref="H63" ca="1">SUM($F$54:$F$73*$P$31^ABS(A40-$A$31:$A$50))/SUM($C$31:$C$50*$G$54:$G$73*$P$31^ABS(A40-$A$31:$A$50))</f>
        <v>0.42513180156861857</v>
      </c>
      <c r="I63" s="43">
        <f t="shared" ca="1" si="22"/>
        <v>243.34552508546227</v>
      </c>
      <c r="J63" s="43">
        <f t="shared" ca="1" si="23"/>
        <v>4962.9294250854618</v>
      </c>
      <c r="K63" s="14">
        <f t="shared" ca="1" si="24"/>
        <v>0.43145139767685653</v>
      </c>
      <c r="L63" s="43">
        <f t="shared" ca="1" si="25"/>
        <v>6.8659701337119259</v>
      </c>
      <c r="M63" s="43">
        <f t="shared" ca="1" si="26"/>
        <v>205.15692745468812</v>
      </c>
      <c r="N63" s="43">
        <f t="shared" ca="1" si="27"/>
        <v>38.188597630774154</v>
      </c>
      <c r="O63" s="43">
        <f t="shared" ca="1" si="28"/>
        <v>-44.196558695334758</v>
      </c>
    </row>
    <row r="64" spans="1:42" x14ac:dyDescent="0.25">
      <c r="B64" s="12" t="str">
        <f t="shared" si="19"/>
        <v>201209</v>
      </c>
      <c r="C64" s="34">
        <f t="shared" ca="1" si="20"/>
        <v>134.70929099904021</v>
      </c>
      <c r="D64" s="34">
        <f ca="1">cas_lower!D38-cas_lower!C38</f>
        <v>198.9928259999997</v>
      </c>
      <c r="E64" s="34">
        <f t="shared" ca="1" si="21"/>
        <v>64.283535000959489</v>
      </c>
      <c r="F64" s="34">
        <f ca="1">cas_lower!D38</f>
        <v>7024.7013589999997</v>
      </c>
      <c r="G64" s="14">
        <f t="shared" ca="1" si="29"/>
        <v>0.92285208481001901</v>
      </c>
      <c r="H64" s="42">
        <f t="array" aca="1" ref="H64" ca="1">SUM($F$54:$F$73*$P$31^ABS(A41-$A$31:$A$50))/SUM($C$31:$C$50*$G$54:$G$73*$P$31^ABS(A41-$A$31:$A$50))</f>
        <v>0.43337712831301006</v>
      </c>
      <c r="I64" s="43">
        <f t="shared" ca="1" si="22"/>
        <v>445.22709520143786</v>
      </c>
      <c r="J64" s="43">
        <f t="shared" ca="1" si="23"/>
        <v>7469.9284542014375</v>
      </c>
      <c r="K64" s="14">
        <f t="shared" ca="1" si="24"/>
        <v>0.56095114361622533</v>
      </c>
      <c r="L64" s="43">
        <f t="shared" ca="1" si="25"/>
        <v>-47.46733256832249</v>
      </c>
      <c r="M64" s="43">
        <f t="shared" ca="1" si="26"/>
        <v>371.89381350395848</v>
      </c>
      <c r="N64" s="43">
        <f t="shared" ca="1" si="27"/>
        <v>73.333281697479379</v>
      </c>
      <c r="O64" s="43">
        <f t="shared" ca="1" si="28"/>
        <v>-137.61681669843887</v>
      </c>
    </row>
    <row r="65" spans="2:15" x14ac:dyDescent="0.25">
      <c r="B65" s="12" t="str">
        <f t="shared" si="19"/>
        <v>201212</v>
      </c>
      <c r="C65" s="34">
        <f t="shared" ca="1" si="20"/>
        <v>-33.443835188374536</v>
      </c>
      <c r="D65" s="34">
        <f ca="1">cas_lower!D39-cas_lower!C39</f>
        <v>-123.4855290000005</v>
      </c>
      <c r="E65" s="34">
        <f t="shared" ca="1" si="21"/>
        <v>-90.041693811625962</v>
      </c>
      <c r="F65" s="34">
        <f ca="1">cas_lower!D39</f>
        <v>4983.9001289999997</v>
      </c>
      <c r="G65" s="14">
        <f t="shared" ca="1" si="29"/>
        <v>0.8949071699447283</v>
      </c>
      <c r="H65" s="42">
        <f t="array" aca="1" ref="H65" ca="1">SUM($F$54:$F$73*$P$31^ABS(A42-$A$31:$A$50))/SUM($C$31:$C$50*$G$54:$G$73*$P$31^ABS(A42-$A$31:$A$50))</f>
        <v>0.43534893558940618</v>
      </c>
      <c r="I65" s="43">
        <f t="shared" ca="1" si="22"/>
        <v>652.86989141365314</v>
      </c>
      <c r="J65" s="43">
        <f t="shared" ca="1" si="23"/>
        <v>5636.7700204136527</v>
      </c>
      <c r="K65" s="14">
        <f t="shared" ca="1" si="24"/>
        <v>0.39501560234527971</v>
      </c>
      <c r="L65" s="43">
        <f t="shared" ca="1" si="25"/>
        <v>75.698373539416025</v>
      </c>
      <c r="M65" s="43">
        <f t="shared" ca="1" si="26"/>
        <v>539.52742474557431</v>
      </c>
      <c r="N65" s="43">
        <f t="shared" ca="1" si="27"/>
        <v>113.34246666807883</v>
      </c>
      <c r="O65" s="43">
        <f t="shared" ca="1" si="28"/>
        <v>-23.300772856452866</v>
      </c>
    </row>
    <row r="66" spans="2:15" x14ac:dyDescent="0.25">
      <c r="B66" s="12" t="str">
        <f t="shared" si="19"/>
        <v>201303</v>
      </c>
      <c r="C66" s="34">
        <f t="shared" ca="1" si="20"/>
        <v>144.5971922193456</v>
      </c>
      <c r="D66" s="34">
        <f ca="1">cas_lower!D40-cas_lower!C40</f>
        <v>-80.448113000000376</v>
      </c>
      <c r="E66" s="34">
        <f t="shared" ca="1" si="21"/>
        <v>-225.04530521934598</v>
      </c>
      <c r="F66" s="34">
        <f ca="1">cas_lower!D40</f>
        <v>4766.701849</v>
      </c>
      <c r="G66" s="14">
        <f t="shared" ca="1" si="29"/>
        <v>0.90142158816824269</v>
      </c>
      <c r="H66" s="42">
        <f t="array" aca="1" ref="H66" ca="1">SUM($F$54:$F$73*$P$31^ABS(A43-$A$31:$A$50))/SUM($C$31:$C$50*$G$54:$G$73*$P$31^ABS(A43-$A$31:$A$50))</f>
        <v>0.43960522913347599</v>
      </c>
      <c r="I66" s="43">
        <f t="shared" ca="1" si="22"/>
        <v>658.40275671799941</v>
      </c>
      <c r="J66" s="43">
        <f t="shared" ca="1" si="23"/>
        <v>5425.1046057179992</v>
      </c>
      <c r="K66" s="14">
        <f t="shared" ca="1" si="24"/>
        <v>0.3570763960465474</v>
      </c>
      <c r="L66" s="43">
        <f t="shared" ca="1" si="25"/>
        <v>249.94449194997105</v>
      </c>
      <c r="M66" s="43">
        <f t="shared" ca="1" si="26"/>
        <v>537.61406262869389</v>
      </c>
      <c r="N66" s="43">
        <f t="shared" ca="1" si="27"/>
        <v>120.78869408930552</v>
      </c>
      <c r="O66" s="43">
        <f t="shared" ca="1" si="28"/>
        <v>104.25661113004045</v>
      </c>
    </row>
    <row r="67" spans="2:15" x14ac:dyDescent="0.25">
      <c r="B67" s="12" t="str">
        <f t="shared" si="19"/>
        <v>201306</v>
      </c>
      <c r="C67" s="34">
        <f t="shared" ca="1" si="20"/>
        <v>74.257294279401847</v>
      </c>
      <c r="D67" s="34">
        <f ca="1">cas_lower!D41-cas_lower!C41</f>
        <v>488.91991999999846</v>
      </c>
      <c r="E67" s="34">
        <f t="shared" ca="1" si="21"/>
        <v>414.66262572059662</v>
      </c>
      <c r="F67" s="34">
        <f ca="1">cas_lower!D41</f>
        <v>10614.361279999999</v>
      </c>
      <c r="G67" s="14">
        <f t="shared" ca="1" si="29"/>
        <v>0.87490784428546942</v>
      </c>
      <c r="H67" s="42">
        <f t="array" aca="1" ref="H67" ca="1">SUM($F$54:$F$73*$P$31^ABS(A44-$A$31:$A$50))/SUM($C$31:$C$50*$G$54:$G$73*$P$31^ABS(A44-$A$31:$A$50))</f>
        <v>0.44892408822126517</v>
      </c>
      <c r="I67" s="43">
        <f t="shared" ca="1" si="22"/>
        <v>846.66496584399931</v>
      </c>
      <c r="J67" s="43">
        <f t="shared" ca="1" si="23"/>
        <v>11461.026245843999</v>
      </c>
      <c r="K67" s="14">
        <f t="shared" ca="1" si="24"/>
        <v>0.76017731198628202</v>
      </c>
      <c r="L67" s="43">
        <f t="shared" ca="1" si="25"/>
        <v>-404.68975352897542</v>
      </c>
      <c r="M67" s="43">
        <f t="shared" ca="1" si="26"/>
        <v>681.48924630341878</v>
      </c>
      <c r="N67" s="43">
        <f t="shared" ca="1" si="27"/>
        <v>165.17571954058053</v>
      </c>
      <c r="O67" s="43">
        <f t="shared" ca="1" si="28"/>
        <v>-579.83834526117721</v>
      </c>
    </row>
    <row r="68" spans="2:15" x14ac:dyDescent="0.25">
      <c r="B68" s="12" t="str">
        <f t="shared" si="19"/>
        <v>201309</v>
      </c>
      <c r="C68" s="34">
        <f t="shared" ca="1" si="20"/>
        <v>29.139837447162783</v>
      </c>
      <c r="D68" s="34">
        <f ca="1">cas_lower!D42-cas_lower!C42</f>
        <v>127.01966600000014</v>
      </c>
      <c r="E68" s="34">
        <f t="shared" ca="1" si="21"/>
        <v>97.879828552837353</v>
      </c>
      <c r="F68" s="34">
        <f ca="1">cas_lower!D42</f>
        <v>4882.154192</v>
      </c>
      <c r="G68" s="14">
        <f t="shared" ca="1" si="29"/>
        <v>0.86127739440042028</v>
      </c>
      <c r="H68" s="42">
        <f t="array" aca="1" ref="H68" ca="1">SUM($F$54:$F$73*$P$31^ABS(A45-$A$31:$A$50))/SUM($C$31:$C$50*$G$54:$G$73*$P$31^ABS(A45-$A$31:$A$50))</f>
        <v>0.43972320410566862</v>
      </c>
      <c r="I68" s="43">
        <f t="shared" ca="1" si="22"/>
        <v>1147.0648041610323</v>
      </c>
      <c r="J68" s="43">
        <f t="shared" ca="1" si="23"/>
        <v>6029.218996161032</v>
      </c>
      <c r="K68" s="14">
        <f t="shared" ca="1" si="24"/>
        <v>0.32062673001517117</v>
      </c>
      <c r="L68" s="43">
        <f t="shared" ca="1" si="25"/>
        <v>-100.19870046086999</v>
      </c>
      <c r="M68" s="43">
        <f t="shared" ca="1" si="26"/>
        <v>909.79446203972486</v>
      </c>
      <c r="N68" s="43">
        <f t="shared" ca="1" si="27"/>
        <v>237.27034212130741</v>
      </c>
      <c r="O68" s="43">
        <f t="shared" ca="1" si="28"/>
        <v>-335.15017067414476</v>
      </c>
    </row>
    <row r="69" spans="2:15" x14ac:dyDescent="0.25">
      <c r="B69" s="12" t="str">
        <f t="shared" si="19"/>
        <v>201312</v>
      </c>
      <c r="C69" s="34">
        <f t="shared" ca="1" si="20"/>
        <v>129.83266295687409</v>
      </c>
      <c r="D69" s="34">
        <f ca="1">cas_lower!D43-cas_lower!C43</f>
        <v>-62.568172000000231</v>
      </c>
      <c r="E69" s="34">
        <f t="shared" ca="1" si="21"/>
        <v>-192.40083495687432</v>
      </c>
      <c r="F69" s="34">
        <f ca="1">cas_lower!D43</f>
        <v>7356.6312049999997</v>
      </c>
      <c r="G69" s="14">
        <f t="shared" ca="1" si="29"/>
        <v>0.85683424339644976</v>
      </c>
      <c r="H69" s="42">
        <f t="array" aca="1" ref="H69" ca="1">SUM($F$54:$F$73*$P$31^ABS(A46-$A$31:$A$50))/SUM($C$31:$C$50*$G$54:$G$73*$P$31^ABS(A46-$A$31:$A$50))</f>
        <v>0.43933331163825357</v>
      </c>
      <c r="I69" s="43">
        <f t="shared" ca="1" si="22"/>
        <v>1127.7487910008808</v>
      </c>
      <c r="J69" s="43">
        <f t="shared" ca="1" si="23"/>
        <v>8484.3799960008801</v>
      </c>
      <c r="K69" s="14">
        <f t="shared" ca="1" si="24"/>
        <v>0.47319595990851554</v>
      </c>
      <c r="L69" s="43">
        <f t="shared" ca="1" si="25"/>
        <v>219.07213527692329</v>
      </c>
      <c r="M69" s="43">
        <f t="shared" ca="1" si="26"/>
        <v>882.19836974625116</v>
      </c>
      <c r="N69" s="43">
        <f t="shared" ca="1" si="27"/>
        <v>245.55042125462967</v>
      </c>
      <c r="O69" s="43">
        <f t="shared" ca="1" si="28"/>
        <v>-53.149586297755349</v>
      </c>
    </row>
    <row r="70" spans="2:15" x14ac:dyDescent="0.25">
      <c r="B70" s="12" t="str">
        <f t="shared" si="19"/>
        <v>201403</v>
      </c>
      <c r="C70" s="34">
        <f t="shared" ca="1" si="20"/>
        <v>213.69007328315922</v>
      </c>
      <c r="D70" s="34">
        <f ca="1">cas_lower!D44-cas_lower!C44</f>
        <v>1046.2439900000004</v>
      </c>
      <c r="E70" s="34">
        <f t="shared" ca="1" si="21"/>
        <v>832.55391671684117</v>
      </c>
      <c r="F70" s="34">
        <f ca="1">cas_lower!D44</f>
        <v>5070.7771160000002</v>
      </c>
      <c r="G70" s="14">
        <f t="shared" ca="1" si="29"/>
        <v>0.83576461545163616</v>
      </c>
      <c r="H70" s="42">
        <f t="array" aca="1" ref="H70" ca="1">SUM($F$54:$F$73*$P$31^ABS(A47-$A$31:$A$50))/SUM($C$31:$C$50*$G$54:$G$73*$P$31^ABS(A47-$A$31:$A$50))</f>
        <v>0.4362640503439929</v>
      </c>
      <c r="I70" s="43">
        <f t="shared" ca="1" si="22"/>
        <v>1348.7903742535414</v>
      </c>
      <c r="J70" s="43">
        <f t="shared" ca="1" si="23"/>
        <v>6419.5674902535411</v>
      </c>
      <c r="K70" s="14">
        <f t="shared" ca="1" si="24"/>
        <v>0.34101813106549395</v>
      </c>
      <c r="L70" s="43">
        <f t="shared" ca="1" si="25"/>
        <v>-786.75083651193927</v>
      </c>
      <c r="M70" s="43">
        <f t="shared" ca="1" si="26"/>
        <v>1034.9575522217381</v>
      </c>
      <c r="N70" s="43">
        <f t="shared" ca="1" si="27"/>
        <v>313.83282203180329</v>
      </c>
      <c r="O70" s="43">
        <f t="shared" ca="1" si="28"/>
        <v>-1146.3867387486443</v>
      </c>
    </row>
    <row r="71" spans="2:15" x14ac:dyDescent="0.25">
      <c r="B71" s="12" t="str">
        <f t="shared" si="19"/>
        <v>201406</v>
      </c>
      <c r="C71" s="34">
        <f t="shared" ca="1" si="20"/>
        <v>297.12288241117102</v>
      </c>
      <c r="D71" s="34">
        <f ca="1">cas_lower!D45-cas_lower!C45</f>
        <v>1878.5796980000005</v>
      </c>
      <c r="E71" s="34">
        <f t="shared" ca="1" si="21"/>
        <v>1581.4568155888294</v>
      </c>
      <c r="F71" s="34">
        <f ca="1">cas_lower!D45</f>
        <v>10026.346020000001</v>
      </c>
      <c r="G71" s="14">
        <f t="shared" ca="1" si="29"/>
        <v>0.80185455674006056</v>
      </c>
      <c r="H71" s="42">
        <f t="array" aca="1" ref="H71" ca="1">SUM($F$54:$F$73*$P$31^ABS(A48-$A$31:$A$50))/SUM($C$31:$C$50*$G$54:$G$73*$P$31^ABS(A48-$A$31:$A$50))</f>
        <v>0.44119308521752215</v>
      </c>
      <c r="I71" s="43">
        <f t="shared" ca="1" si="22"/>
        <v>1764.2608213903004</v>
      </c>
      <c r="J71" s="43">
        <f t="shared" ca="1" si="23"/>
        <v>11790.606841390301</v>
      </c>
      <c r="K71" s="14">
        <f t="shared" ca="1" si="24"/>
        <v>0.58423309475702223</v>
      </c>
      <c r="L71" s="43">
        <f t="shared" ca="1" si="25"/>
        <v>-1504.4999777416924</v>
      </c>
      <c r="M71" s="43">
        <f t="shared" ca="1" si="26"/>
        <v>1338.5185740235599</v>
      </c>
      <c r="N71" s="43">
        <f t="shared" ca="1" si="27"/>
        <v>425.74224736674046</v>
      </c>
      <c r="O71" s="43">
        <f t="shared" ca="1" si="28"/>
        <v>-2007.1990629555698</v>
      </c>
    </row>
    <row r="72" spans="2:15" x14ac:dyDescent="0.25">
      <c r="B72" s="12" t="str">
        <f t="shared" si="19"/>
        <v>201409</v>
      </c>
      <c r="C72" s="34">
        <f t="shared" ca="1" si="20"/>
        <v>1203.3698626638864</v>
      </c>
      <c r="D72" s="34">
        <f ca="1">cas_lower!D46-cas_lower!C46</f>
        <v>1371.3729469999998</v>
      </c>
      <c r="E72" s="34">
        <f t="shared" ca="1" si="21"/>
        <v>168.00308433611349</v>
      </c>
      <c r="F72" s="34">
        <f ca="1">cas_lower!D46</f>
        <v>6178.1244710000001</v>
      </c>
      <c r="G72" s="14">
        <f t="shared" ca="1" si="29"/>
        <v>0.75787044895061118</v>
      </c>
      <c r="H72" s="42">
        <f t="array" aca="1" ref="H72" ca="1">SUM($F$54:$F$73*$P$31^ABS(A49-$A$31:$A$50))/SUM($C$31:$C$50*$G$54:$G$73*$P$31^ABS(A49-$A$31:$A$50))</f>
        <v>0.43207007662325853</v>
      </c>
      <c r="I72" s="43">
        <f t="shared" ca="1" si="22"/>
        <v>2185.5900444169279</v>
      </c>
      <c r="J72" s="43">
        <f t="shared" ca="1" si="23"/>
        <v>8363.7145154169284</v>
      </c>
      <c r="K72" s="14">
        <f t="shared" ca="1" si="24"/>
        <v>0.40034322491921465</v>
      </c>
      <c r="L72" s="43">
        <f t="shared" ca="1" si="25"/>
        <v>240.71030165342563</v>
      </c>
      <c r="M72" s="43">
        <f t="shared" ca="1" si="26"/>
        <v>1658.585116692059</v>
      </c>
      <c r="N72" s="43">
        <f t="shared" ca="1" si="27"/>
        <v>527.00492772486882</v>
      </c>
      <c r="O72" s="43">
        <f t="shared" ca="1" si="28"/>
        <v>-695.00801206098231</v>
      </c>
    </row>
    <row r="73" spans="2:15" ht="15.75" thickBot="1" x14ac:dyDescent="0.3">
      <c r="B73" s="20" t="str">
        <f>B50</f>
        <v>201412</v>
      </c>
      <c r="C73" s="33">
        <f ca="1">C50*I50*(E49-E50)</f>
        <v>1989.313140924583</v>
      </c>
      <c r="D73" s="34">
        <f ca="1">cas_lower!D47-cas_lower!C47</f>
        <v>2464.6070069999996</v>
      </c>
      <c r="E73" s="33">
        <f t="shared" ca="1" si="21"/>
        <v>475.29386607541664</v>
      </c>
      <c r="F73" s="34">
        <f ca="1">cas_lower!D47</f>
        <v>4341.6172729999998</v>
      </c>
      <c r="G73" s="22">
        <f t="shared" ca="1" si="29"/>
        <v>0.5821957719860108</v>
      </c>
      <c r="H73" s="44">
        <f t="array" aca="1" ref="H73" ca="1">SUM($F$54:$F$73*$P$31^ABS(A50-$A$31:$A$50))/SUM($C$31:$C$50*$G$54:$G$73*$P$31^ABS(A50-$A$31:$A$50))</f>
        <v>0.42426985786087451</v>
      </c>
      <c r="I73" s="45">
        <f t="shared" ca="1" si="22"/>
        <v>4192.9474710410905</v>
      </c>
      <c r="J73" s="45">
        <f t="shared" ca="1" si="23"/>
        <v>8534.5647440410903</v>
      </c>
      <c r="K73" s="22">
        <f t="shared" ca="1" si="24"/>
        <v>0.36080866999095529</v>
      </c>
      <c r="L73" s="45">
        <f t="shared" ca="1" si="25"/>
        <v>298.74088341572678</v>
      </c>
      <c r="M73" s="43">
        <f t="shared" ca="1" si="26"/>
        <v>3175.5303853843534</v>
      </c>
      <c r="N73" s="43">
        <f t="shared" ca="1" si="27"/>
        <v>1017.4170856567371</v>
      </c>
      <c r="O73" s="43">
        <f t="shared" ca="1" si="28"/>
        <v>-1492.7109517321537</v>
      </c>
    </row>
    <row r="74" spans="2:15" ht="15.75" thickBot="1" x14ac:dyDescent="0.3">
      <c r="B74" s="27" t="s">
        <v>42</v>
      </c>
      <c r="C74" s="28">
        <f ca="1">SUM(C54:C73)</f>
        <v>4607.5041716761752</v>
      </c>
      <c r="D74" s="28">
        <f t="shared" ref="D74:F74" ca="1" si="31">SUM(D54:D73)</f>
        <v>9758.0887619999994</v>
      </c>
      <c r="E74" s="28">
        <f t="shared" ca="1" si="31"/>
        <v>5150.5845903238223</v>
      </c>
      <c r="F74" s="28">
        <f t="shared" ca="1" si="31"/>
        <v>135002.58315800002</v>
      </c>
      <c r="G74" s="28"/>
      <c r="H74" s="28"/>
      <c r="I74" s="28">
        <f t="shared" ref="I74:J74" ca="1" si="32">SUM(I54:I73)</f>
        <v>15027.611876293739</v>
      </c>
      <c r="J74" s="28">
        <f t="shared" ca="1" si="32"/>
        <v>150030.19503429372</v>
      </c>
      <c r="K74" s="47">
        <f ca="1">J74/C51</f>
        <v>0.3996928031505293</v>
      </c>
      <c r="L74" s="46">
        <f t="shared" ref="L74" ca="1" si="33">SUM(L54:L73)</f>
        <v>-3751.390124689673</v>
      </c>
      <c r="M74" s="46">
        <f ca="1">SUM(M54:M73)</f>
        <v>11691.815763228795</v>
      </c>
      <c r="N74" s="46">
        <f ca="1">SUM(N54:N73)</f>
        <v>3335.7961130649428</v>
      </c>
      <c r="O74" s="46">
        <f ca="1">SUM(O54:O73)</f>
        <v>-8486.3807033887642</v>
      </c>
    </row>
    <row r="76" spans="2:15" x14ac:dyDescent="0.25">
      <c r="G76" t="s">
        <v>56</v>
      </c>
      <c r="H76">
        <f t="array" aca="1" ref="H76" ca="1">SUM((I31:I50-H54:H73)^2)</f>
        <v>0.10697829833455245</v>
      </c>
    </row>
  </sheetData>
  <conditionalFormatting sqref="T39:T5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9:U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9:AP5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sme_train</vt:lpstr>
      <vt:lpstr>sme_test</vt:lpstr>
      <vt:lpstr>sme_lower</vt:lpstr>
      <vt:lpstr>cas_train</vt:lpstr>
      <vt:lpstr>cas_test</vt:lpstr>
      <vt:lpstr>cas_lower</vt:lpstr>
      <vt:lpstr>CC examples - SME</vt:lpstr>
      <vt:lpstr>Diagrams</vt:lpstr>
      <vt:lpstr>CL Example</vt:lpstr>
      <vt:lpstr>CC examples - CAS</vt:lpstr>
      <vt:lpstr>CC examples - CAS + Mod 1</vt:lpstr>
      <vt:lpstr>CC examples - CAS + Mod 2</vt:lpstr>
      <vt:lpstr>'CC examples - CAS + Mod 1'!ave_cas</vt:lpstr>
      <vt:lpstr>'CC examples - CAS + Mod 2'!ave_cas</vt:lpstr>
      <vt:lpstr>ave_cas</vt:lpstr>
      <vt:lpstr>ave_sme</vt:lpstr>
      <vt:lpstr>'CC examples - CAS + Mod 1'!cas_delta_ielr</vt:lpstr>
      <vt:lpstr>'CC examples - CAS + Mod 2'!cas_delta_ielr</vt:lpstr>
      <vt:lpstr>cas_delta_ielr</vt:lpstr>
      <vt:lpstr>'CC examples - CAS + Mod 1'!cas_gcc</vt:lpstr>
      <vt:lpstr>'CC examples - CAS + Mod 2'!cas_gcc</vt:lpstr>
      <vt:lpstr>cas_gcc</vt:lpstr>
      <vt:lpstr>'CC examples - CAS + Mod 1'!cdr_cas</vt:lpstr>
      <vt:lpstr>'CC examples - CAS + Mod 2'!cdr_cas</vt:lpstr>
      <vt:lpstr>cdr_cas</vt:lpstr>
      <vt:lpstr>cdr_sme</vt:lpstr>
      <vt:lpstr>'CC examples - CAS + Mod 1'!dec_cas</vt:lpstr>
      <vt:lpstr>'CC examples - CAS + Mod 2'!dec_cas</vt:lpstr>
      <vt:lpstr>dec_cas</vt:lpstr>
      <vt:lpstr>dec_sme</vt:lpstr>
      <vt:lpstr>'CC examples - CAS + Mod 1'!dec_tab_cas</vt:lpstr>
      <vt:lpstr>'CC examples - CAS + Mod 2'!dec_tab_cas</vt:lpstr>
      <vt:lpstr>dec_tab_cas</vt:lpstr>
      <vt:lpstr>dec_tab_gcc</vt:lpstr>
      <vt:lpstr>'CC examples - CAS + Mod 1'!dec_tab_gcc_cas</vt:lpstr>
      <vt:lpstr>'CC examples - CAS + Mod 2'!dec_tab_gcc_cas</vt:lpstr>
      <vt:lpstr>dec_tab_gcc_cas</vt:lpstr>
      <vt:lpstr>dec_tab_sme</vt:lpstr>
      <vt:lpstr>sme_delta_ielr</vt:lpstr>
      <vt:lpstr>sme_detla_ielr</vt:lpstr>
      <vt:lpstr>sme_gcc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user-pc</dc:creator>
  <cp:lastModifiedBy>user-pc</cp:lastModifiedBy>
  <dcterms:created xsi:type="dcterms:W3CDTF">2022-08-24T04:11:04Z</dcterms:created>
  <dcterms:modified xsi:type="dcterms:W3CDTF">2022-08-26T14:36:02Z</dcterms:modified>
</cp:coreProperties>
</file>